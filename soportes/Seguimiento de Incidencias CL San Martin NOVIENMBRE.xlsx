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020"/>
  </bookViews>
  <sheets>
    <sheet name="INCIDENCIA OPERARIO II" sheetId="2" r:id="rId1"/>
    <sheet name="INCIDENCIA ANALISTA" sheetId="3" r:id="rId2"/>
    <sheet name="Hoja1" sheetId="1" r:id="rId3"/>
  </sheets>
  <definedNames>
    <definedName name="_xlnm._FilterDatabase" localSheetId="2" hidden="1">Hoja1!$B$3:$F$4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2" i="2" l="1"/>
  <c r="Z29" i="2"/>
  <c r="E47" i="2" l="1"/>
  <c r="AA106" i="3" l="1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AB105" i="3"/>
  <c r="AA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AB103" i="3"/>
  <c r="AB102" i="3"/>
  <c r="AA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AB100" i="3"/>
  <c r="AB99" i="3"/>
  <c r="AA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AB97" i="3"/>
  <c r="AB96" i="3"/>
  <c r="AA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AB94" i="3"/>
  <c r="AB93" i="3"/>
  <c r="AA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AB91" i="3"/>
  <c r="AB90" i="3"/>
  <c r="AA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AB88" i="3"/>
  <c r="AB87" i="3"/>
  <c r="AA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AB85" i="3"/>
  <c r="AB84" i="3"/>
  <c r="AA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AB82" i="3"/>
  <c r="AB81" i="3"/>
  <c r="AA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AB79" i="3"/>
  <c r="AB78" i="3"/>
  <c r="AA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AB76" i="3"/>
  <c r="AB75" i="3"/>
  <c r="AA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AB73" i="3"/>
  <c r="AB72" i="3"/>
  <c r="AA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AB70" i="3"/>
  <c r="AB69" i="3"/>
  <c r="AA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AB67" i="3"/>
  <c r="AB66" i="3"/>
  <c r="AA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AB64" i="3"/>
  <c r="AB63" i="3"/>
  <c r="AA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AB61" i="3"/>
  <c r="AB60" i="3"/>
  <c r="AA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AB58" i="3"/>
  <c r="AB57" i="3"/>
  <c r="AA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AB55" i="3"/>
  <c r="AB54" i="3"/>
  <c r="AA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AB52" i="3"/>
  <c r="AB51" i="3"/>
  <c r="AA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AB49" i="3"/>
  <c r="AB48" i="3"/>
  <c r="AA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AB46" i="3"/>
  <c r="AB45" i="3"/>
  <c r="AA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AB43" i="3"/>
  <c r="AB42" i="3"/>
  <c r="AA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AB40" i="3"/>
  <c r="AB39" i="3"/>
  <c r="AA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AB37" i="3"/>
  <c r="AB36" i="3"/>
  <c r="AA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AB34" i="3"/>
  <c r="AB33" i="3"/>
  <c r="AA32" i="3"/>
  <c r="Y32" i="3"/>
  <c r="X32" i="3"/>
  <c r="W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AB31" i="3"/>
  <c r="AB30" i="3"/>
  <c r="AA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AB28" i="3"/>
  <c r="AB27" i="3"/>
  <c r="AA26" i="3"/>
  <c r="Y26" i="3"/>
  <c r="X26" i="3"/>
  <c r="W26" i="3"/>
  <c r="V26" i="3"/>
  <c r="U26" i="3"/>
  <c r="T26" i="3"/>
  <c r="S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AB25" i="3"/>
  <c r="AB24" i="3"/>
  <c r="AA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AB22" i="3"/>
  <c r="AB21" i="3"/>
  <c r="AA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B19" i="3"/>
  <c r="AB18" i="3"/>
  <c r="AA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AB16" i="3"/>
  <c r="AB15" i="3"/>
  <c r="AA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B13" i="3"/>
  <c r="AB12" i="3"/>
  <c r="AA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AB10" i="3"/>
  <c r="AB9" i="3"/>
  <c r="AA8" i="3"/>
  <c r="Y8" i="3"/>
  <c r="X8" i="3"/>
  <c r="W8" i="3"/>
  <c r="V8" i="3"/>
  <c r="U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B7" i="3"/>
  <c r="AB46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AA47" i="2"/>
  <c r="AB48" i="2"/>
  <c r="AC70" i="3" l="1"/>
  <c r="AC73" i="3"/>
  <c r="AC76" i="3"/>
  <c r="AC79" i="3"/>
  <c r="AC82" i="3"/>
  <c r="AC85" i="3"/>
  <c r="AC88" i="3"/>
  <c r="AC91" i="3"/>
  <c r="AC94" i="3"/>
  <c r="AC103" i="3"/>
  <c r="AC10" i="3"/>
  <c r="AC13" i="3"/>
  <c r="AB8" i="3"/>
  <c r="AB14" i="3"/>
  <c r="AB20" i="3"/>
  <c r="AB26" i="3"/>
  <c r="AB29" i="3"/>
  <c r="AB32" i="3"/>
  <c r="AB35" i="3"/>
  <c r="AB38" i="3"/>
  <c r="AB41" i="3"/>
  <c r="AB44" i="3"/>
  <c r="AB47" i="3"/>
  <c r="AB50" i="3"/>
  <c r="AB53" i="3"/>
  <c r="AB56" i="3"/>
  <c r="AB59" i="3"/>
  <c r="AB62" i="3"/>
  <c r="AB65" i="3"/>
  <c r="AB68" i="3"/>
  <c r="AB71" i="3"/>
  <c r="AB74" i="3"/>
  <c r="AB77" i="3"/>
  <c r="AB80" i="3"/>
  <c r="AB83" i="3"/>
  <c r="AB86" i="3"/>
  <c r="AB89" i="3"/>
  <c r="AB92" i="3"/>
  <c r="AB95" i="3"/>
  <c r="AB98" i="3"/>
  <c r="AB101" i="3"/>
  <c r="AB104" i="3"/>
  <c r="AC25" i="3"/>
  <c r="AB17" i="3"/>
  <c r="AB23" i="3"/>
  <c r="AC28" i="3"/>
  <c r="AC19" i="3"/>
  <c r="AB11" i="3"/>
  <c r="AC16" i="3"/>
  <c r="AB106" i="3"/>
  <c r="AC7" i="3"/>
  <c r="AC22" i="3"/>
  <c r="AC31" i="3"/>
  <c r="AC34" i="3"/>
  <c r="AC37" i="3"/>
  <c r="AC40" i="3"/>
  <c r="AC43" i="3"/>
  <c r="AC46" i="3"/>
  <c r="AC49" i="3"/>
  <c r="AC52" i="3"/>
  <c r="AC55" i="3"/>
  <c r="AC58" i="3"/>
  <c r="AC61" i="3"/>
  <c r="AC64" i="3"/>
  <c r="AC67" i="3"/>
  <c r="AC97" i="3"/>
  <c r="AC100" i="3"/>
  <c r="AC46" i="2"/>
  <c r="AB47" i="2"/>
  <c r="AB107" i="3"/>
  <c r="AA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AB105" i="2"/>
  <c r="AA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AB103" i="2"/>
  <c r="AB102" i="2"/>
  <c r="AA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AB100" i="2"/>
  <c r="AB99" i="2"/>
  <c r="AA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AB97" i="2"/>
  <c r="AB96" i="2"/>
  <c r="AA95" i="2"/>
  <c r="Y95" i="2"/>
  <c r="X95" i="2"/>
  <c r="W95" i="2"/>
  <c r="V95" i="2"/>
  <c r="U95" i="2"/>
  <c r="T95" i="2"/>
  <c r="S95" i="2"/>
  <c r="Q95" i="2"/>
  <c r="P95" i="2"/>
  <c r="O95" i="2"/>
  <c r="N95" i="2"/>
  <c r="M95" i="2"/>
  <c r="L95" i="2"/>
  <c r="K95" i="2"/>
  <c r="I95" i="2"/>
  <c r="G95" i="2"/>
  <c r="E95" i="2"/>
  <c r="R95" i="2"/>
  <c r="J95" i="2"/>
  <c r="H95" i="2"/>
  <c r="F95" i="2"/>
  <c r="AB93" i="2"/>
  <c r="AA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E92" i="2"/>
  <c r="AB91" i="2"/>
  <c r="AC91" i="2" s="1"/>
  <c r="F92" i="2"/>
  <c r="AB90" i="2"/>
  <c r="AA89" i="2"/>
  <c r="Y89" i="2"/>
  <c r="X89" i="2"/>
  <c r="W89" i="2"/>
  <c r="V89" i="2"/>
  <c r="U89" i="2"/>
  <c r="T89" i="2"/>
  <c r="S89" i="2"/>
  <c r="Q89" i="2"/>
  <c r="P89" i="2"/>
  <c r="O89" i="2"/>
  <c r="N89" i="2"/>
  <c r="M89" i="2"/>
  <c r="L89" i="2"/>
  <c r="K89" i="2"/>
  <c r="J89" i="2"/>
  <c r="I89" i="2"/>
  <c r="H89" i="2"/>
  <c r="F89" i="2"/>
  <c r="E89" i="2"/>
  <c r="R89" i="2"/>
  <c r="G89" i="2"/>
  <c r="AB88" i="2"/>
  <c r="AB87" i="2"/>
  <c r="AA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AB85" i="2"/>
  <c r="AB84" i="2"/>
  <c r="AA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AB82" i="2"/>
  <c r="AB81" i="2"/>
  <c r="AA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J80" i="2"/>
  <c r="H80" i="2"/>
  <c r="G80" i="2"/>
  <c r="F80" i="2"/>
  <c r="E80" i="2"/>
  <c r="K80" i="2"/>
  <c r="I80" i="2"/>
  <c r="AB78" i="2"/>
  <c r="AA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AB76" i="2"/>
  <c r="AB75" i="2"/>
  <c r="AA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AB73" i="2"/>
  <c r="AB72" i="2"/>
  <c r="AA71" i="2"/>
  <c r="Y71" i="2"/>
  <c r="X71" i="2"/>
  <c r="W71" i="2"/>
  <c r="V71" i="2"/>
  <c r="U71" i="2"/>
  <c r="T71" i="2"/>
  <c r="R71" i="2"/>
  <c r="Q71" i="2"/>
  <c r="P71" i="2"/>
  <c r="O71" i="2"/>
  <c r="N71" i="2"/>
  <c r="M71" i="2"/>
  <c r="L71" i="2"/>
  <c r="K71" i="2"/>
  <c r="J71" i="2"/>
  <c r="H71" i="2"/>
  <c r="F71" i="2"/>
  <c r="E71" i="2"/>
  <c r="S71" i="2"/>
  <c r="I71" i="2"/>
  <c r="G71" i="2"/>
  <c r="AB69" i="2"/>
  <c r="AA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AB67" i="2"/>
  <c r="AB66" i="2"/>
  <c r="AA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F65" i="2"/>
  <c r="J65" i="2"/>
  <c r="I65" i="2"/>
  <c r="H65" i="2"/>
  <c r="G65" i="2"/>
  <c r="E65" i="2"/>
  <c r="AB63" i="2"/>
  <c r="AA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E62" i="2"/>
  <c r="AB61" i="2"/>
  <c r="AC61" i="2" s="1"/>
  <c r="F62" i="2"/>
  <c r="AB60" i="2"/>
  <c r="AA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AB58" i="2"/>
  <c r="AB57" i="2"/>
  <c r="AA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AB55" i="2"/>
  <c r="AB54" i="2"/>
  <c r="AA53" i="2"/>
  <c r="Y53" i="2"/>
  <c r="X53" i="2"/>
  <c r="W53" i="2"/>
  <c r="V53" i="2"/>
  <c r="U53" i="2"/>
  <c r="T53" i="2"/>
  <c r="S53" i="2"/>
  <c r="Q53" i="2"/>
  <c r="P53" i="2"/>
  <c r="O53" i="2"/>
  <c r="N53" i="2"/>
  <c r="M53" i="2"/>
  <c r="L53" i="2"/>
  <c r="J53" i="2"/>
  <c r="I53" i="2"/>
  <c r="H53" i="2"/>
  <c r="G53" i="2"/>
  <c r="F53" i="2"/>
  <c r="E53" i="2"/>
  <c r="R53" i="2"/>
  <c r="K53" i="2"/>
  <c r="AB51" i="2"/>
  <c r="AA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J50" i="2"/>
  <c r="I50" i="2"/>
  <c r="H50" i="2"/>
  <c r="G50" i="2"/>
  <c r="F50" i="2"/>
  <c r="E50" i="2"/>
  <c r="K50" i="2"/>
  <c r="AB45" i="2"/>
  <c r="AA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AB43" i="2"/>
  <c r="AB42" i="2"/>
  <c r="AA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B40" i="2"/>
  <c r="AB39" i="2"/>
  <c r="AA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AB37" i="2"/>
  <c r="AB36" i="2"/>
  <c r="AA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E35" i="2"/>
  <c r="AB34" i="2"/>
  <c r="AB33" i="2"/>
  <c r="AA32" i="2"/>
  <c r="Y32" i="2"/>
  <c r="X32" i="2"/>
  <c r="W32" i="2"/>
  <c r="V32" i="2"/>
  <c r="U32" i="2"/>
  <c r="T32" i="2"/>
  <c r="S32" i="2"/>
  <c r="R32" i="2"/>
  <c r="Q32" i="2"/>
  <c r="P32" i="2"/>
  <c r="O32" i="2"/>
  <c r="M32" i="2"/>
  <c r="L32" i="2"/>
  <c r="K32" i="2"/>
  <c r="J32" i="2"/>
  <c r="I32" i="2"/>
  <c r="H32" i="2"/>
  <c r="G32" i="2"/>
  <c r="E32" i="2"/>
  <c r="N32" i="2"/>
  <c r="F32" i="2"/>
  <c r="AB30" i="2"/>
  <c r="AA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B28" i="2"/>
  <c r="AB27" i="2"/>
  <c r="AA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B25" i="2"/>
  <c r="AB24" i="2"/>
  <c r="AA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AB22" i="2"/>
  <c r="AB21" i="2"/>
  <c r="AA20" i="2"/>
  <c r="Y20" i="2"/>
  <c r="X20" i="2"/>
  <c r="W20" i="2"/>
  <c r="V20" i="2"/>
  <c r="U20" i="2"/>
  <c r="T20" i="2"/>
  <c r="S20" i="2"/>
  <c r="R20" i="2"/>
  <c r="Q20" i="2"/>
  <c r="P20" i="2"/>
  <c r="O20" i="2"/>
  <c r="M20" i="2"/>
  <c r="L20" i="2"/>
  <c r="K20" i="2"/>
  <c r="J20" i="2"/>
  <c r="I20" i="2"/>
  <c r="H20" i="2"/>
  <c r="F20" i="2"/>
  <c r="E20" i="2"/>
  <c r="N20" i="2"/>
  <c r="G20" i="2"/>
  <c r="AB19" i="2"/>
  <c r="AB18" i="2"/>
  <c r="AA17" i="2"/>
  <c r="Y17" i="2"/>
  <c r="X17" i="2"/>
  <c r="W17" i="2"/>
  <c r="V17" i="2"/>
  <c r="U17" i="2"/>
  <c r="T17" i="2"/>
  <c r="S17" i="2"/>
  <c r="R17" i="2"/>
  <c r="Q17" i="2"/>
  <c r="P17" i="2"/>
  <c r="N17" i="2"/>
  <c r="M17" i="2"/>
  <c r="L17" i="2"/>
  <c r="K17" i="2"/>
  <c r="J17" i="2"/>
  <c r="I17" i="2"/>
  <c r="H17" i="2"/>
  <c r="G17" i="2"/>
  <c r="F17" i="2"/>
  <c r="E17" i="2"/>
  <c r="AB16" i="2"/>
  <c r="AB15" i="2"/>
  <c r="AA14" i="2"/>
  <c r="Y14" i="2"/>
  <c r="X14" i="2"/>
  <c r="W14" i="2"/>
  <c r="V14" i="2"/>
  <c r="U14" i="2"/>
  <c r="T14" i="2"/>
  <c r="S14" i="2"/>
  <c r="R14" i="2"/>
  <c r="Q14" i="2"/>
  <c r="O14" i="2"/>
  <c r="M14" i="2"/>
  <c r="L14" i="2"/>
  <c r="K14" i="2"/>
  <c r="J14" i="2"/>
  <c r="I14" i="2"/>
  <c r="H14" i="2"/>
  <c r="G14" i="2"/>
  <c r="F14" i="2"/>
  <c r="P14" i="2"/>
  <c r="N14" i="2"/>
  <c r="AB12" i="2"/>
  <c r="AA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AB10" i="2"/>
  <c r="AB9" i="2"/>
  <c r="AA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AB7" i="2"/>
  <c r="AC34" i="2" l="1"/>
  <c r="AC16" i="2"/>
  <c r="AC25" i="2"/>
  <c r="AC22" i="2"/>
  <c r="AB8" i="2"/>
  <c r="AB11" i="2"/>
  <c r="AC28" i="2"/>
  <c r="AC55" i="2"/>
  <c r="AB68" i="2"/>
  <c r="AC73" i="2"/>
  <c r="AC97" i="2"/>
  <c r="AC100" i="2"/>
  <c r="AC103" i="2"/>
  <c r="AC19" i="2"/>
  <c r="AC43" i="2"/>
  <c r="AB77" i="2"/>
  <c r="AC85" i="2"/>
  <c r="AB41" i="2"/>
  <c r="AC40" i="2"/>
  <c r="AB59" i="2"/>
  <c r="AB83" i="2"/>
  <c r="AB106" i="2"/>
  <c r="AB50" i="2"/>
  <c r="AB104" i="2"/>
  <c r="AB101" i="2"/>
  <c r="AB98" i="2"/>
  <c r="AC88" i="2"/>
  <c r="AB89" i="2"/>
  <c r="AB86" i="2"/>
  <c r="AC82" i="2"/>
  <c r="AC76" i="2"/>
  <c r="AB74" i="2"/>
  <c r="AC67" i="2"/>
  <c r="AC58" i="2"/>
  <c r="AB56" i="2"/>
  <c r="AC37" i="2"/>
  <c r="AB26" i="2"/>
  <c r="AB32" i="2"/>
  <c r="AB29" i="2"/>
  <c r="AB23" i="2"/>
  <c r="AB17" i="2"/>
  <c r="AB14" i="2"/>
  <c r="AC10" i="2"/>
  <c r="AB53" i="2"/>
  <c r="AC7" i="2"/>
  <c r="AB13" i="2"/>
  <c r="AC13" i="2" s="1"/>
  <c r="AB20" i="2"/>
  <c r="AB31" i="2"/>
  <c r="AC31" i="2" s="1"/>
  <c r="F35" i="2"/>
  <c r="AB35" i="2" s="1"/>
  <c r="AB38" i="2"/>
  <c r="AB44" i="2"/>
  <c r="AB62" i="2"/>
  <c r="AB65" i="2"/>
  <c r="AB71" i="2"/>
  <c r="AB80" i="2"/>
  <c r="AB92" i="2"/>
  <c r="AB95" i="2"/>
  <c r="AB94" i="2"/>
  <c r="AC94" i="2" s="1"/>
  <c r="AB49" i="2"/>
  <c r="AC49" i="2" s="1"/>
  <c r="AB52" i="2"/>
  <c r="AC52" i="2" s="1"/>
  <c r="AB64" i="2"/>
  <c r="AC64" i="2" s="1"/>
  <c r="AB70" i="2"/>
  <c r="AC70" i="2" s="1"/>
  <c r="AB79" i="2"/>
  <c r="AC79" i="2" s="1"/>
  <c r="AB107" i="2" l="1"/>
</calcChain>
</file>

<file path=xl/comments1.xml><?xml version="1.0" encoding="utf-8"?>
<comments xmlns="http://schemas.openxmlformats.org/spreadsheetml/2006/main">
  <authors>
    <author>Admin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Admin:Asignado area reempaque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Inversion Sparkling 500
</t>
        </r>
      </text>
    </comment>
    <comment ref="V9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INVERSION
</t>
        </r>
      </text>
    </comment>
    <comment ref="O1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Faltante de producto</t>
        </r>
      </text>
    </comment>
    <comment ref="P1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Faltante de producto</t>
        </r>
      </text>
    </comment>
    <comment ref="P18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Inversio</t>
        </r>
      </text>
    </comment>
    <comment ref="V1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INVERSION</t>
        </r>
      </text>
    </comment>
    <comment ref="AA28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VACACIONES</t>
        </r>
      </text>
    </comment>
    <comment ref="AA3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VACACIONES</t>
        </r>
      </text>
    </comment>
    <comment ref="P39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Faltante</t>
        </r>
      </text>
    </comment>
    <comment ref="Q39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Inversion</t>
        </r>
      </text>
    </comment>
    <comment ref="R39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Inversion</t>
        </r>
      </text>
    </comment>
    <comment ref="V45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INVERSION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E7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De vacaciones
</t>
        </r>
      </text>
    </comment>
    <comment ref="T15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NO IDENTIFICO ARMADOR
</t>
        </r>
      </text>
    </comment>
    <comment ref="E16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De vacaciones</t>
        </r>
      </text>
    </comment>
    <comment ref="V1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NO IDENTIFICO ARMADOR</t>
        </r>
      </text>
    </comment>
    <comment ref="I24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NO IDENTIFICO ARMADOR.</t>
        </r>
      </text>
    </comment>
    <comment ref="L24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NO IDENTIFICO ARMADOR.
</t>
        </r>
      </text>
    </comment>
    <comment ref="R2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 INDICO NOMBRE DEL OP II</t>
        </r>
      </text>
    </comment>
    <comment ref="W24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NO IDENTIFICO ARMADOR</t>
        </r>
      </text>
    </comment>
    <comment ref="R27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 INDICO NOMBRE DEL OP II</t>
        </r>
      </text>
    </comment>
    <comment ref="S27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 INDICO NOMBRE DEL OP II</t>
        </r>
      </text>
    </comment>
    <comment ref="W27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NO IDENTIFICO ARMADOR</t>
        </r>
      </text>
    </comment>
    <comment ref="X27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NO IDENTIFICÓ AL ARMADOR.</t>
        </r>
      </text>
    </comment>
    <comment ref="Q30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 INDICO NOMBRE DEL OP II</t>
        </r>
      </text>
    </comment>
    <comment ref="K33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No identifico armador
</t>
        </r>
      </text>
    </comment>
    <comment ref="Q33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 INDICO NOMBRE DEL OP II</t>
        </r>
      </text>
    </comment>
    <comment ref="S33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NO IDENTIFICO ARMADOR.</t>
        </r>
      </text>
    </comment>
    <comment ref="U33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NO IDENTIFICO ARMADOR</t>
        </r>
      </text>
    </comment>
    <comment ref="V33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NO IDENTIFICO ARMADOR</t>
        </r>
      </text>
    </comment>
    <comment ref="I34" authorId="0" shapeId="0">
      <text>
        <r>
          <rPr>
            <b/>
            <sz val="9"/>
            <color indexed="81"/>
            <rFont val="Tahoma"/>
            <family val="2"/>
          </rPr>
          <t>PERMISO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7" authorId="0" shapeId="0">
      <text>
        <r>
          <rPr>
            <b/>
            <sz val="9"/>
            <color indexed="81"/>
            <rFont val="Tahoma"/>
            <family val="2"/>
          </rPr>
          <t>Personal nuevo. En adiestramiento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6" authorId="0" shapeId="0">
      <text>
        <r>
          <rPr>
            <b/>
            <sz val="9"/>
            <color indexed="81"/>
            <rFont val="Tahoma"/>
            <family val="2"/>
          </rPr>
          <t>AUSENTE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6" authorId="0" shapeId="0">
      <text>
        <r>
          <rPr>
            <b/>
            <sz val="9"/>
            <color indexed="81"/>
            <rFont val="Tahoma"/>
            <family val="2"/>
          </rPr>
          <t>APOYO DE ALEXIS ARDILA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9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9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9" authorId="0" shapeId="0">
      <text>
        <r>
          <rPr>
            <b/>
            <sz val="9"/>
            <color indexed="81"/>
            <rFont val="Tahoma"/>
            <family val="2"/>
          </rPr>
          <t>PRESTO APOYO A SUS COMPAÑEROS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9" authorId="0" shapeId="0">
      <text>
        <r>
          <rPr>
            <b/>
            <sz val="9"/>
            <color indexed="81"/>
            <rFont val="Tahoma"/>
            <family val="2"/>
          </rPr>
          <t>PRESTO APOYO A SUS COMPAÑEROS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58" authorId="0" shapeId="0">
      <text>
        <r>
          <rPr>
            <b/>
            <sz val="9"/>
            <color indexed="81"/>
            <rFont val="Tahoma"/>
            <family val="2"/>
          </rPr>
          <t>SE LE COLOCA PROMEDIO DEBIDO A QUE NO APARECEN LOS PICKING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61" authorId="0" shapeId="0">
      <text>
        <r>
          <rPr>
            <b/>
            <sz val="9"/>
            <color indexed="81"/>
            <rFont val="Tahoma"/>
            <family val="2"/>
          </rPr>
          <t xml:space="preserve">AUSENTE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7" authorId="0" shapeId="0">
      <text>
        <r>
          <rPr>
            <b/>
            <sz val="9"/>
            <color indexed="81"/>
            <rFont val="Tahoma"/>
            <family val="2"/>
          </rPr>
          <t>EN CURSO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0" authorId="0" shapeId="0">
      <text>
        <r>
          <rPr>
            <b/>
            <sz val="9"/>
            <color indexed="81"/>
            <rFont val="Tahoma"/>
            <family val="2"/>
          </rPr>
          <t>EN CURSO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6" authorId="0" shapeId="0">
      <text>
        <r>
          <rPr>
            <b/>
            <sz val="9"/>
            <color indexed="81"/>
            <rFont val="Tahoma"/>
            <family val="2"/>
          </rPr>
          <t>EN CURSO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9" authorId="0" shapeId="0">
      <text>
        <r>
          <rPr>
            <b/>
            <sz val="9"/>
            <color indexed="81"/>
            <rFont val="Tahoma"/>
            <family val="2"/>
          </rPr>
          <t>EN CURSO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82" authorId="0" shapeId="0">
      <text>
        <r>
          <rPr>
            <b/>
            <sz val="9"/>
            <color indexed="81"/>
            <rFont val="Tahoma"/>
            <family val="2"/>
          </rPr>
          <t>AUSENTE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85" authorId="0" shapeId="0">
      <text>
        <r>
          <rPr>
            <b/>
            <sz val="9"/>
            <color indexed="81"/>
            <rFont val="Tahoma"/>
            <family val="2"/>
          </rPr>
          <t>AUSENTE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88" authorId="0" shapeId="0">
      <text>
        <r>
          <rPr>
            <b/>
            <sz val="9"/>
            <color indexed="81"/>
            <rFont val="Tahoma"/>
            <family val="2"/>
          </rPr>
          <t xml:space="preserve">AUSENTE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1" authorId="0" shapeId="0">
      <text>
        <r>
          <rPr>
            <b/>
            <sz val="9"/>
            <color indexed="81"/>
            <rFont val="Tahoma"/>
            <family val="2"/>
          </rPr>
          <t>EN CURSO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4" authorId="0" shapeId="0">
      <text>
        <r>
          <rPr>
            <b/>
            <sz val="9"/>
            <color indexed="81"/>
            <rFont val="Tahoma"/>
            <family val="2"/>
          </rPr>
          <t>NUEVO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97" authorId="0" shapeId="0">
      <text>
        <r>
          <rPr>
            <b/>
            <sz val="9"/>
            <color indexed="81"/>
            <rFont val="Tahoma"/>
            <family val="2"/>
          </rPr>
          <t>VACACIONES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<sst xmlns="http://schemas.openxmlformats.org/spreadsheetml/2006/main" count="486" uniqueCount="88">
  <si>
    <t xml:space="preserve">SEGUIMIENTO DE INCIDENCIAS </t>
  </si>
  <si>
    <t>SAN MARTIN</t>
  </si>
  <si>
    <t>Operario II</t>
  </si>
  <si>
    <t>CORDERO RAMOS, MIGUEL ANGEL</t>
  </si>
  <si>
    <t>GIL QUIJIJE, RONALD EDUARDO</t>
  </si>
  <si>
    <t>Operario III</t>
  </si>
  <si>
    <t>CASTRILLO HERNANDEZ, DOUGLAS DAVID</t>
  </si>
  <si>
    <t>ESCALONA ESCALONA, MANUEL ENRIQUE</t>
  </si>
  <si>
    <t>LUNA, OSWALDO ANDRES</t>
  </si>
  <si>
    <t>MORALES BRACHO, DARWIN JOSE</t>
  </si>
  <si>
    <t>FIGUEROA APONTE, EDDY MICHEL</t>
  </si>
  <si>
    <t>AMARANTO MARTINEZ, FRANCISCO RAUL</t>
  </si>
  <si>
    <t>LUIMER VALERO</t>
  </si>
  <si>
    <t>DENINSON AROCHA</t>
  </si>
  <si>
    <t>BIANCHI RAMOS, ALCIDES ALIRIO</t>
  </si>
  <si>
    <t>Analista de Almacén I</t>
  </si>
  <si>
    <t>CARABALLO PADILLA, ANAMIN ISOLINA</t>
  </si>
  <si>
    <t>GONZALEZ MEDINA, FREDERICK</t>
  </si>
  <si>
    <t>OROPEZA OMAÑA, YETZALY KIMBERLIN</t>
  </si>
  <si>
    <t>MALAVE VILLAMIZAR, BRIAN ANDERSON</t>
  </si>
  <si>
    <t>HUERTA RAMOS, LEYNER RAFAEL</t>
  </si>
  <si>
    <t>RIVERO TOVAR, YORGELYS ANIUSKA</t>
  </si>
  <si>
    <t>ARIAS APONTE, JESUS IGNACIO</t>
  </si>
  <si>
    <t>BAPTISTA GUILARTE, JHONATAN JOSE</t>
  </si>
  <si>
    <t>MARIN, RICHARD GUSTAVO</t>
  </si>
  <si>
    <t>CARREÑO BENITEZ, RICHARD JESUS</t>
  </si>
  <si>
    <t>SUAREZ MERO, JEAN KLEIVER</t>
  </si>
  <si>
    <t>MOTA PARENTE, BRIAN JOSE</t>
  </si>
  <si>
    <t>YANEZ CURVELO, GREGORIS JOSE</t>
  </si>
  <si>
    <t>MEDINA MARCANO, KYBERT ISAAC</t>
  </si>
  <si>
    <t>MEJIA LISBOA, PABLO LUIS</t>
  </si>
  <si>
    <t>RUIZ FORD, JOSE MIGUEL</t>
  </si>
  <si>
    <t>Agencia</t>
  </si>
  <si>
    <t>Cédula</t>
  </si>
  <si>
    <t>Nombre</t>
  </si>
  <si>
    <t>Posición</t>
  </si>
  <si>
    <t>Fecha
de Incidencia</t>
  </si>
  <si>
    <t>Descripcion de Incidencia</t>
  </si>
  <si>
    <t xml:space="preserve">EDGAR MEDOLPHE </t>
  </si>
  <si>
    <t xml:space="preserve">SAMUEL RANGEL </t>
  </si>
  <si>
    <t xml:space="preserve">JOSE BLANCO  </t>
  </si>
  <si>
    <t>CONTROL ASIGNACION DE PICKING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</si>
  <si>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</si>
  <si>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</si>
  <si>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</si>
  <si>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</si>
  <si>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</si>
  <si>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</si>
  <si>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</si>
  <si>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</si>
  <si>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</si>
  <si>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</si>
  <si>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</si>
  <si>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</si>
  <si>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</si>
  <si>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</si>
  <si>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</si>
  <si>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</si>
  <si>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</si>
  <si>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</si>
  <si>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</si>
  <si>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</si>
  <si>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</si>
  <si>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</si>
  <si>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L</t>
  </si>
  <si>
    <t>M</t>
  </si>
  <si>
    <t>J</t>
  </si>
  <si>
    <t>V</t>
  </si>
  <si>
    <t>NOMBRE Y APELLIDO</t>
  </si>
  <si>
    <t>CEDULA</t>
  </si>
  <si>
    <t xml:space="preserve">SUPERVISOR </t>
  </si>
  <si>
    <t>INDICADOR</t>
  </si>
  <si>
    <t>TOTAL</t>
  </si>
  <si>
    <t>% PI</t>
  </si>
  <si>
    <t>WILLIAM CASTRO</t>
  </si>
  <si>
    <t>PICKING ASIGNADOS</t>
  </si>
  <si>
    <t>CARGAS PREPARADAS</t>
  </si>
  <si>
    <t>INCIDENCIAS</t>
  </si>
  <si>
    <t>ROSY APONTE</t>
  </si>
  <si>
    <t>RICHARD DIAZ</t>
  </si>
  <si>
    <t>TOTAL INCIDENCIAS</t>
  </si>
  <si>
    <t>TOTAL PICKING ASIGNADOS</t>
  </si>
  <si>
    <t>HERNANDEZ ORTIZ, ROBERTO LUIS</t>
  </si>
  <si>
    <t>PICKING CHEQUEADAS</t>
  </si>
  <si>
    <t>ALCIDES BIANCHI</t>
  </si>
  <si>
    <t>D23</t>
  </si>
  <si>
    <t>MES OCTUBRE</t>
  </si>
  <si>
    <t>MES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</si>
</sst>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dd\.mm\.yyyy;@"/>
    <numFmt numFmtId="166" formatCode="_ * #,##0_ ;_ * \-#,##0_ ;_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8"/>
      <color theme="0"/>
      <name val="Tahoma"/>
      <family val="2"/>
    </font>
    <font>
      <sz val="12"/>
      <color theme="1"/>
      <name val="Calibri"/>
      <family val="2"/>
      <scheme val="minor"/>
    </font>
    <font>
      <b/>
      <i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8"/>
      <color theme="4" tint="-0.249977111117893"/>
      <name val="Calibri"/>
      <family val="2"/>
      <scheme val="minor"/>
    </font>
    <font>
      <sz val="28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7C80"/>
        <bgColor indexed="64"/>
      </patternFill>
    </fill>
  </fills>
  <borders count="42">
    <border>
      <left/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hair">
        <color theme="0" tint="-0.34998626667073579"/>
      </bottom>
      <diagonal/>
    </border>
    <border>
      <left/>
      <right style="medium">
        <color auto="1"/>
      </right>
      <top/>
      <bottom style="hair">
        <color theme="0" tint="-0.34998626667073579"/>
      </bottom>
      <diagonal/>
    </border>
    <border>
      <left style="medium">
        <color auto="1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medium">
        <color auto="1"/>
      </right>
      <top style="hair">
        <color theme="0" tint="-0.34998626667073579"/>
      </top>
      <bottom/>
      <diagonal/>
    </border>
    <border>
      <left style="medium">
        <color auto="1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auto="1"/>
      </right>
      <top/>
      <bottom style="hair">
        <color theme="0" tint="-0.34998626667073579"/>
      </bottom>
      <diagonal/>
    </border>
    <border>
      <left style="medium">
        <color auto="1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theme="0" tint="-0.34998626667073579"/>
      </right>
      <top style="hair">
        <color theme="0" tint="-0.34998626667073579"/>
      </top>
      <bottom style="medium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</cellStyleXfs>
  <cellXfs count="82">
    <xf numFmtId="0" fontId="0" fillId="0" borderId="0" xfId="0"/>
    <xf numFmtId="165" fontId="5" fillId="0" borderId="1" xfId="5" applyNumberFormat="1" applyFont="1" applyFill="1" applyBorder="1" applyAlignment="1">
      <alignment horizontal="center"/>
    </xf>
    <xf numFmtId="3" fontId="5" fillId="0" borderId="1" xfId="3" applyNumberFormat="1" applyFont="1" applyFill="1" applyBorder="1" applyAlignment="1">
      <alignment horizontal="center"/>
    </xf>
    <xf numFmtId="3" fontId="5" fillId="0" borderId="1" xfId="4" applyNumberFormat="1" applyFont="1" applyFill="1" applyBorder="1" applyAlignment="1"/>
    <xf numFmtId="0" fontId="5" fillId="0" borderId="1" xfId="3" applyFont="1" applyFill="1" applyBorder="1" applyAlignment="1"/>
    <xf numFmtId="0" fontId="0" fillId="0" borderId="0" xfId="0" applyFont="1"/>
    <xf numFmtId="0" fontId="5" fillId="0" borderId="15" xfId="3" applyFont="1" applyFill="1" applyBorder="1" applyAlignment="1">
      <alignment horizontal="left" vertical="center"/>
    </xf>
    <xf numFmtId="0" fontId="0" fillId="0" borderId="16" xfId="0" applyBorder="1"/>
    <xf numFmtId="0" fontId="0" fillId="0" borderId="0" xfId="0" applyFont="1" applyBorder="1"/>
    <xf numFmtId="0" fontId="0" fillId="0" borderId="17" xfId="0" applyFont="1" applyBorder="1"/>
    <xf numFmtId="0" fontId="0" fillId="0" borderId="18" xfId="0" applyBorder="1"/>
    <xf numFmtId="3" fontId="5" fillId="0" borderId="20" xfId="3" applyNumberFormat="1" applyFont="1" applyFill="1" applyBorder="1" applyAlignment="1">
      <alignment horizontal="center"/>
    </xf>
    <xf numFmtId="0" fontId="5" fillId="0" borderId="22" xfId="3" applyFont="1" applyFill="1" applyBorder="1" applyAlignment="1">
      <alignment horizontal="left" vertical="center"/>
    </xf>
    <xf numFmtId="3" fontId="5" fillId="0" borderId="23" xfId="4" applyNumberFormat="1" applyFont="1" applyFill="1" applyBorder="1" applyAlignment="1"/>
    <xf numFmtId="0" fontId="5" fillId="0" borderId="23" xfId="3" applyFont="1" applyFill="1" applyBorder="1" applyAlignment="1"/>
    <xf numFmtId="3" fontId="5" fillId="0" borderId="24" xfId="3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4" borderId="25" xfId="0" applyFont="1" applyFill="1" applyBorder="1" applyAlignment="1">
      <alignment horizontal="center"/>
    </xf>
    <xf numFmtId="0" fontId="9" fillId="4" borderId="26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6" borderId="27" xfId="0" applyFont="1" applyFill="1" applyBorder="1" applyAlignment="1">
      <alignment horizontal="center"/>
    </xf>
    <xf numFmtId="0" fontId="9" fillId="6" borderId="25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7" fillId="7" borderId="30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3" borderId="31" xfId="0" applyFont="1" applyFill="1" applyBorder="1" applyAlignment="1">
      <alignment horizontal="center"/>
    </xf>
    <xf numFmtId="0" fontId="13" fillId="8" borderId="29" xfId="0" applyFont="1" applyFill="1" applyBorder="1" applyAlignment="1">
      <alignment horizontal="center"/>
    </xf>
    <xf numFmtId="0" fontId="7" fillId="4" borderId="33" xfId="0" applyFont="1" applyFill="1" applyBorder="1" applyAlignment="1">
      <alignment horizontal="center"/>
    </xf>
    <xf numFmtId="0" fontId="7" fillId="4" borderId="34" xfId="0" applyFont="1" applyFill="1" applyBorder="1" applyAlignment="1">
      <alignment horizontal="center"/>
    </xf>
    <xf numFmtId="0" fontId="7" fillId="4" borderId="35" xfId="0" applyFont="1" applyFill="1" applyBorder="1" applyAlignment="1">
      <alignment horizontal="center"/>
    </xf>
    <xf numFmtId="0" fontId="7" fillId="4" borderId="36" xfId="0" applyFont="1" applyFill="1" applyBorder="1" applyAlignment="1">
      <alignment horizontal="center"/>
    </xf>
    <xf numFmtId="0" fontId="9" fillId="8" borderId="32" xfId="0" applyFont="1" applyFill="1" applyBorder="1" applyAlignment="1">
      <alignment horizontal="center"/>
    </xf>
    <xf numFmtId="0" fontId="14" fillId="9" borderId="21" xfId="0" applyFont="1" applyFill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38" xfId="0" applyFont="1" applyBorder="1" applyAlignment="1">
      <alignment horizontal="center"/>
    </xf>
    <xf numFmtId="0" fontId="14" fillId="0" borderId="39" xfId="0" applyFont="1" applyBorder="1" applyAlignment="1">
      <alignment horizontal="center"/>
    </xf>
    <xf numFmtId="0" fontId="11" fillId="8" borderId="21" xfId="0" applyFont="1" applyFill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40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0" fontId="9" fillId="8" borderId="25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3" fontId="13" fillId="7" borderId="5" xfId="0" applyNumberFormat="1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/>
    </xf>
    <xf numFmtId="0" fontId="7" fillId="4" borderId="4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7" fillId="3" borderId="35" xfId="0" applyFont="1" applyFill="1" applyBorder="1" applyAlignment="1">
      <alignment horizontal="center"/>
    </xf>
    <xf numFmtId="0" fontId="14" fillId="3" borderId="38" xfId="0" applyFont="1" applyFill="1" applyBorder="1" applyAlignment="1">
      <alignment horizontal="center"/>
    </xf>
    <xf numFmtId="0" fontId="9" fillId="10" borderId="25" xfId="0" applyFont="1" applyFill="1" applyBorder="1" applyAlignment="1">
      <alignment horizontal="center"/>
    </xf>
    <xf numFmtId="10" fontId="2" fillId="0" borderId="29" xfId="2" applyNumberFormat="1" applyFont="1" applyBorder="1" applyAlignment="1">
      <alignment horizontal="center" vertical="center"/>
    </xf>
    <xf numFmtId="10" fontId="2" fillId="0" borderId="32" xfId="2" applyNumberFormat="1" applyFont="1" applyBorder="1" applyAlignment="1">
      <alignment horizontal="center" vertical="center"/>
    </xf>
    <xf numFmtId="10" fontId="2" fillId="0" borderId="21" xfId="2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166" fontId="18" fillId="0" borderId="0" xfId="1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2" borderId="11" xfId="5" applyFont="1" applyFill="1" applyBorder="1" applyAlignment="1">
      <alignment horizontal="center" vertical="center" wrapText="1"/>
    </xf>
    <xf numFmtId="0" fontId="6" fillId="2" borderId="13" xfId="5" applyFont="1" applyFill="1" applyBorder="1" applyAlignment="1">
      <alignment horizontal="center" vertical="center" wrapText="1"/>
    </xf>
    <xf numFmtId="0" fontId="6" fillId="2" borderId="2" xfId="5" applyFont="1" applyFill="1" applyBorder="1" applyAlignment="1">
      <alignment horizontal="center" vertical="center" wrapText="1"/>
    </xf>
    <xf numFmtId="0" fontId="6" fillId="2" borderId="3" xfId="5" applyFont="1" applyFill="1" applyBorder="1" applyAlignment="1">
      <alignment horizontal="center" vertical="center" wrapText="1"/>
    </xf>
    <xf numFmtId="0" fontId="6" fillId="2" borderId="12" xfId="5" applyFont="1" applyFill="1" applyBorder="1" applyAlignment="1">
      <alignment horizontal="center" vertical="center" wrapText="1"/>
    </xf>
    <xf numFmtId="0" fontId="6" fillId="2" borderId="14" xfId="5" applyFont="1" applyFill="1" applyBorder="1" applyAlignment="1">
      <alignment horizontal="center" vertical="center" wrapText="1"/>
    </xf>
  </cellXfs>
  <cellStyles count="6">
    <cellStyle name="Millares" xfId="1" builtinId="3"/>
    <cellStyle name="Millares_Datos del equipo" xfId="4"/>
    <cellStyle name="Normal" xfId="0" builtinId="0"/>
    <cellStyle name="Normal 2" xfId="5"/>
    <cellStyle name="Normal_Datos del equipo" xfId="3"/>
    <cellStyle name="Porcentaje" xfId="2" builtinId="5"/>
  </cellStyles>
  <dxfs count="0"/>
  <tableStyles count="0" defaultTableStyle="TableStyleMedium2" defaultPivotStyle="PivotStyleLight16"/>
  <colors>
    <mruColors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C110"/>
  <sheetViews>
    <sheetView tabSelected="1" zoomScale="90" zoomScaleNormal="90" workbookViewId="0">
      <selection activeCell="X106" sqref="X106"/>
    </sheetView>
  </sheetViews>
  <sheetFormatPr baseColWidth="10" defaultRowHeight="15.75" x14ac:dyDescent="0.25"/>
  <cols>
    <col min="1" max="1" width="31.28515625" customWidth="1"/>
    <col min="2" max="2" width="10.140625" hidden="1" customWidth="1"/>
    <col min="3" max="3" width="18.140625" hidden="1" customWidth="1"/>
    <col min="4" max="4" width="23.7109375" customWidth="1"/>
    <col min="5" max="20" width="4.7109375" style="16" customWidth="1"/>
    <col min="21" max="21" width="4.7109375" style="51" customWidth="1"/>
    <col min="22" max="24" width="4.7109375" style="16" customWidth="1"/>
    <col min="25" max="27" width="4.7109375" style="16" hidden="1" customWidth="1"/>
    <col min="28" max="28" width="10.7109375" style="17" customWidth="1"/>
    <col min="29" max="29" width="10.7109375" customWidth="1"/>
    <col min="30" max="30" width="26" customWidth="1"/>
  </cols>
  <sheetData>
    <row r="2" spans="1:29" ht="27" customHeight="1" x14ac:dyDescent="0.25">
      <c r="A2" s="65" t="s">
        <v>41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</row>
    <row r="4" spans="1:29" ht="16.5" thickBot="1" x14ac:dyDescent="0.3">
      <c r="E4" s="16" t="s">
        <v>42</v>
      </c>
      <c r="F4" s="16" t="s">
        <v>43</v>
      </c>
      <c r="G4" s="16" t="s">
        <v>44</v>
      </c>
      <c r="H4" s="16" t="s">
        <v>45</v>
      </c>
      <c r="I4" s="16" t="s">
        <v>46</v>
      </c>
      <c r="J4" s="16" t="s">
        <v>47</v>
      </c>
      <c r="K4" s="16" t="s">
        <v>48</v>
      </c>
      <c r="L4" s="16" t="s">
        <v>49</v>
      </c>
      <c r="M4" s="16" t="s">
        <v>50</v>
      </c>
      <c r="N4" s="16" t="s">
        <v>51</v>
      </c>
      <c r="O4" s="16" t="s">
        <v>52</v>
      </c>
      <c r="P4" s="16" t="s">
        <v>53</v>
      </c>
      <c r="Q4" s="16" t="s">
        <v>54</v>
      </c>
      <c r="R4" s="16" t="s">
        <v>55</v>
      </c>
      <c r="S4" s="16" t="s">
        <v>56</v>
      </c>
      <c r="T4" s="16" t="s">
        <v>57</v>
      </c>
      <c r="U4" s="51" t="s">
        <v>58</v>
      </c>
      <c r="V4" s="16" t="s">
        <v>59</v>
      </c>
      <c r="W4" s="16" t="s">
        <v>60</v>
      </c>
      <c r="X4" s="16" t="s">
        <v>61</v>
      </c>
    </row>
    <row r="5" spans="1:29" ht="19.5" thickBot="1" x14ac:dyDescent="0.35">
      <c r="A5" s="18" t="s">
        <v>87</v>
      </c>
      <c r="B5" s="18"/>
      <c r="C5" s="18"/>
      <c r="D5" s="18"/>
      <c r="E5" s="19" t="s">
        <v>64</v>
      </c>
      <c r="F5" s="19" t="s">
        <v>65</v>
      </c>
      <c r="G5" s="19" t="s">
        <v>65</v>
      </c>
      <c r="H5" s="19" t="s">
        <v>66</v>
      </c>
      <c r="I5" s="19" t="s">
        <v>67</v>
      </c>
      <c r="J5" s="19" t="s">
        <v>64</v>
      </c>
      <c r="K5" s="19" t="s">
        <v>65</v>
      </c>
      <c r="L5" s="19" t="s">
        <v>65</v>
      </c>
      <c r="M5" s="19" t="s">
        <v>66</v>
      </c>
      <c r="N5" s="19" t="s">
        <v>67</v>
      </c>
      <c r="O5" s="19" t="s">
        <v>64</v>
      </c>
      <c r="P5" s="19" t="s">
        <v>65</v>
      </c>
      <c r="Q5" s="19" t="s">
        <v>65</v>
      </c>
      <c r="R5" s="19" t="s">
        <v>66</v>
      </c>
      <c r="S5" s="19" t="s">
        <v>67</v>
      </c>
      <c r="T5" s="19" t="s">
        <v>64</v>
      </c>
      <c r="U5" s="19" t="s">
        <v>65</v>
      </c>
      <c r="V5" s="19" t="s">
        <v>65</v>
      </c>
      <c r="W5" s="19" t="s">
        <v>66</v>
      </c>
      <c r="X5" s="19" t="s">
        <v>67</v>
      </c>
      <c r="Y5" s="19"/>
      <c r="Z5" s="49"/>
      <c r="AA5" s="20"/>
    </row>
    <row r="6" spans="1:29" ht="16.5" thickBot="1" x14ac:dyDescent="0.3">
      <c r="A6" s="21" t="s">
        <v>68</v>
      </c>
      <c r="B6" s="21" t="s">
        <v>69</v>
      </c>
      <c r="C6" s="21" t="s">
        <v>70</v>
      </c>
      <c r="D6" s="21" t="s">
        <v>71</v>
      </c>
      <c r="E6" s="22">
        <v>3</v>
      </c>
      <c r="F6" s="23">
        <v>4</v>
      </c>
      <c r="G6" s="23">
        <v>5</v>
      </c>
      <c r="H6" s="23">
        <v>6</v>
      </c>
      <c r="I6" s="23">
        <v>7</v>
      </c>
      <c r="J6" s="23">
        <v>10</v>
      </c>
      <c r="K6" s="23">
        <v>11</v>
      </c>
      <c r="L6" s="23">
        <v>12</v>
      </c>
      <c r="M6" s="23">
        <v>13</v>
      </c>
      <c r="N6" s="23">
        <v>14</v>
      </c>
      <c r="O6" s="23">
        <v>17</v>
      </c>
      <c r="P6" s="23">
        <v>18</v>
      </c>
      <c r="Q6" s="23">
        <v>19</v>
      </c>
      <c r="R6" s="23">
        <v>20</v>
      </c>
      <c r="S6" s="23">
        <v>21</v>
      </c>
      <c r="T6" s="23">
        <v>24</v>
      </c>
      <c r="U6" s="55">
        <v>25</v>
      </c>
      <c r="V6" s="23">
        <v>26</v>
      </c>
      <c r="W6" s="23">
        <v>27</v>
      </c>
      <c r="X6" s="23">
        <v>28</v>
      </c>
      <c r="Y6" s="23"/>
      <c r="Z6" s="24"/>
      <c r="AA6" s="24"/>
      <c r="AB6" s="21" t="s">
        <v>72</v>
      </c>
      <c r="AC6" s="21" t="s">
        <v>73</v>
      </c>
    </row>
    <row r="7" spans="1:29" x14ac:dyDescent="0.25">
      <c r="A7" s="62" t="s">
        <v>11</v>
      </c>
      <c r="B7" s="59">
        <v>19398507</v>
      </c>
      <c r="C7" s="59" t="s">
        <v>74</v>
      </c>
      <c r="D7" s="25" t="s">
        <v>75</v>
      </c>
      <c r="E7" s="26">
        <v>0</v>
      </c>
      <c r="F7" s="27">
        <v>0</v>
      </c>
      <c r="G7" s="28">
        <v>0</v>
      </c>
      <c r="H7" s="28">
        <v>0</v>
      </c>
      <c r="I7" s="28">
        <v>1</v>
      </c>
      <c r="J7" s="28">
        <v>8</v>
      </c>
      <c r="K7" s="29">
        <v>7</v>
      </c>
      <c r="L7" s="28">
        <v>7</v>
      </c>
      <c r="M7" s="28">
        <v>8</v>
      </c>
      <c r="N7" s="28">
        <v>3</v>
      </c>
      <c r="O7" s="28">
        <v>3</v>
      </c>
      <c r="P7" s="27">
        <v>5</v>
      </c>
      <c r="Q7" s="28">
        <v>4</v>
      </c>
      <c r="R7" s="27">
        <v>4</v>
      </c>
      <c r="S7" s="27">
        <v>5</v>
      </c>
      <c r="T7" s="28">
        <v>4</v>
      </c>
      <c r="U7" s="29">
        <v>1</v>
      </c>
      <c r="V7" s="28">
        <v>2</v>
      </c>
      <c r="W7" s="28">
        <v>4</v>
      </c>
      <c r="X7" s="28">
        <v>3</v>
      </c>
      <c r="Y7" s="28"/>
      <c r="Z7" s="28"/>
      <c r="AA7" s="28"/>
      <c r="AB7" s="30">
        <f t="shared" ref="AB7:AB32" si="0">SUM(E7:AA7)</f>
        <v>69</v>
      </c>
      <c r="AC7" s="56">
        <f>IFERROR((AB7-(AB7-AB9))/AB7,0)</f>
        <v>2.8985507246376812E-2</v>
      </c>
    </row>
    <row r="8" spans="1:29" x14ac:dyDescent="0.25">
      <c r="A8" s="63"/>
      <c r="B8" s="60"/>
      <c r="C8" s="60"/>
      <c r="D8" s="31" t="s">
        <v>76</v>
      </c>
      <c r="E8" s="32">
        <f t="shared" ref="E8:AA8" si="1">E7-E9</f>
        <v>0</v>
      </c>
      <c r="F8" s="33">
        <f t="shared" si="1"/>
        <v>0</v>
      </c>
      <c r="G8" s="33">
        <f t="shared" si="1"/>
        <v>0</v>
      </c>
      <c r="H8" s="33">
        <f t="shared" si="1"/>
        <v>0</v>
      </c>
      <c r="I8" s="33">
        <f t="shared" si="1"/>
        <v>1</v>
      </c>
      <c r="J8" s="33">
        <f t="shared" si="1"/>
        <v>8</v>
      </c>
      <c r="K8" s="33">
        <f t="shared" si="1"/>
        <v>7</v>
      </c>
      <c r="L8" s="33">
        <f t="shared" si="1"/>
        <v>7</v>
      </c>
      <c r="M8" s="33">
        <f t="shared" si="1"/>
        <v>8</v>
      </c>
      <c r="N8" s="33">
        <f t="shared" si="1"/>
        <v>3</v>
      </c>
      <c r="O8" s="33">
        <f t="shared" si="1"/>
        <v>3</v>
      </c>
      <c r="P8" s="33">
        <f t="shared" si="1"/>
        <v>5</v>
      </c>
      <c r="Q8" s="33">
        <f t="shared" si="1"/>
        <v>4</v>
      </c>
      <c r="R8" s="33">
        <f t="shared" si="1"/>
        <v>4</v>
      </c>
      <c r="S8" s="33">
        <f t="shared" si="1"/>
        <v>4</v>
      </c>
      <c r="T8" s="33">
        <f t="shared" si="1"/>
        <v>4</v>
      </c>
      <c r="U8" s="33">
        <f t="shared" si="1"/>
        <v>1</v>
      </c>
      <c r="V8" s="33">
        <f t="shared" si="1"/>
        <v>1</v>
      </c>
      <c r="W8" s="33">
        <f t="shared" si="1"/>
        <v>4</v>
      </c>
      <c r="X8" s="33">
        <f t="shared" si="1"/>
        <v>3</v>
      </c>
      <c r="Y8" s="33">
        <f t="shared" si="1"/>
        <v>0</v>
      </c>
      <c r="Z8" s="50"/>
      <c r="AA8" s="34">
        <f t="shared" si="1"/>
        <v>0</v>
      </c>
      <c r="AB8" s="35">
        <f t="shared" si="0"/>
        <v>67</v>
      </c>
      <c r="AC8" s="57"/>
    </row>
    <row r="9" spans="1:29" ht="16.5" thickBot="1" x14ac:dyDescent="0.3">
      <c r="A9" s="64"/>
      <c r="B9" s="61"/>
      <c r="C9" s="61"/>
      <c r="D9" s="36" t="s">
        <v>77</v>
      </c>
      <c r="E9" s="37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1</v>
      </c>
      <c r="T9" s="38">
        <v>0</v>
      </c>
      <c r="U9" s="54">
        <v>0</v>
      </c>
      <c r="V9" s="38">
        <v>1</v>
      </c>
      <c r="W9" s="38">
        <v>0</v>
      </c>
      <c r="X9" s="38">
        <v>0</v>
      </c>
      <c r="Y9" s="38"/>
      <c r="Z9" s="39"/>
      <c r="AA9" s="39"/>
      <c r="AB9" s="40">
        <f t="shared" si="0"/>
        <v>2</v>
      </c>
      <c r="AC9" s="58"/>
    </row>
    <row r="10" spans="1:29" x14ac:dyDescent="0.25">
      <c r="A10" s="62" t="s">
        <v>12</v>
      </c>
      <c r="B10" s="59">
        <v>19398507</v>
      </c>
      <c r="C10" s="59" t="s">
        <v>74</v>
      </c>
      <c r="D10" s="25" t="s">
        <v>75</v>
      </c>
      <c r="E10" s="41">
        <v>1</v>
      </c>
      <c r="F10" s="28">
        <v>3</v>
      </c>
      <c r="G10" s="41">
        <v>4</v>
      </c>
      <c r="H10" s="28">
        <v>4</v>
      </c>
      <c r="I10" s="27">
        <v>2</v>
      </c>
      <c r="J10" s="28">
        <v>2</v>
      </c>
      <c r="K10" s="27">
        <v>0</v>
      </c>
      <c r="L10" s="28">
        <v>0</v>
      </c>
      <c r="M10" s="28">
        <v>0</v>
      </c>
      <c r="N10" s="28">
        <v>0</v>
      </c>
      <c r="O10" s="41">
        <v>9</v>
      </c>
      <c r="P10" s="41">
        <v>7</v>
      </c>
      <c r="Q10" s="41">
        <v>5</v>
      </c>
      <c r="R10" s="41">
        <v>9</v>
      </c>
      <c r="S10" s="41">
        <v>6</v>
      </c>
      <c r="T10" s="28">
        <v>3</v>
      </c>
      <c r="U10" s="29">
        <v>5</v>
      </c>
      <c r="V10" s="27">
        <v>4</v>
      </c>
      <c r="W10" s="28">
        <v>4</v>
      </c>
      <c r="X10" s="28">
        <v>4</v>
      </c>
      <c r="Y10" s="27"/>
      <c r="Z10" s="42"/>
      <c r="AA10" s="42"/>
      <c r="AB10" s="30">
        <f t="shared" si="0"/>
        <v>72</v>
      </c>
      <c r="AC10" s="56">
        <f>IFERROR((AB10-(AB10-AB12))/AB10,0)</f>
        <v>4.1666666666666664E-2</v>
      </c>
    </row>
    <row r="11" spans="1:29" x14ac:dyDescent="0.25">
      <c r="A11" s="63"/>
      <c r="B11" s="60"/>
      <c r="C11" s="60"/>
      <c r="D11" s="31" t="s">
        <v>76</v>
      </c>
      <c r="E11" s="32">
        <f t="shared" ref="E11:AA11" si="2">E10-E12</f>
        <v>1</v>
      </c>
      <c r="F11" s="33">
        <f t="shared" si="2"/>
        <v>3</v>
      </c>
      <c r="G11" s="33">
        <f t="shared" si="2"/>
        <v>4</v>
      </c>
      <c r="H11" s="33">
        <f t="shared" si="2"/>
        <v>4</v>
      </c>
      <c r="I11" s="33">
        <f t="shared" si="2"/>
        <v>2</v>
      </c>
      <c r="J11" s="33">
        <f t="shared" si="2"/>
        <v>2</v>
      </c>
      <c r="K11" s="33">
        <f t="shared" si="2"/>
        <v>0</v>
      </c>
      <c r="L11" s="33">
        <f t="shared" si="2"/>
        <v>0</v>
      </c>
      <c r="M11" s="33">
        <f t="shared" si="2"/>
        <v>0</v>
      </c>
      <c r="N11" s="33">
        <f t="shared" si="2"/>
        <v>0</v>
      </c>
      <c r="O11" s="33">
        <f t="shared" si="2"/>
        <v>8</v>
      </c>
      <c r="P11" s="33">
        <f t="shared" si="2"/>
        <v>6</v>
      </c>
      <c r="Q11" s="33">
        <f t="shared" si="2"/>
        <v>5</v>
      </c>
      <c r="R11" s="33">
        <f t="shared" si="2"/>
        <v>9</v>
      </c>
      <c r="S11" s="33">
        <f t="shared" si="2"/>
        <v>6</v>
      </c>
      <c r="T11" s="33">
        <f t="shared" si="2"/>
        <v>3</v>
      </c>
      <c r="U11" s="33">
        <f t="shared" si="2"/>
        <v>4</v>
      </c>
      <c r="V11" s="33">
        <f t="shared" si="2"/>
        <v>4</v>
      </c>
      <c r="W11" s="33">
        <f t="shared" si="2"/>
        <v>4</v>
      </c>
      <c r="X11" s="33">
        <f t="shared" si="2"/>
        <v>4</v>
      </c>
      <c r="Y11" s="33">
        <f t="shared" si="2"/>
        <v>0</v>
      </c>
      <c r="Z11" s="33"/>
      <c r="AA11" s="33">
        <f t="shared" si="2"/>
        <v>0</v>
      </c>
      <c r="AB11" s="35">
        <f t="shared" si="0"/>
        <v>69</v>
      </c>
      <c r="AC11" s="57"/>
    </row>
    <row r="12" spans="1:29" ht="16.5" thickBot="1" x14ac:dyDescent="0.3">
      <c r="A12" s="64"/>
      <c r="B12" s="61"/>
      <c r="C12" s="61"/>
      <c r="D12" s="36" t="s">
        <v>77</v>
      </c>
      <c r="E12" s="37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1</v>
      </c>
      <c r="P12" s="38">
        <v>1</v>
      </c>
      <c r="Q12" s="38">
        <v>0</v>
      </c>
      <c r="R12" s="38">
        <v>0</v>
      </c>
      <c r="S12" s="38">
        <v>0</v>
      </c>
      <c r="T12" s="38">
        <v>0</v>
      </c>
      <c r="U12" s="54">
        <v>1</v>
      </c>
      <c r="V12" s="38">
        <v>0</v>
      </c>
      <c r="W12" s="38">
        <v>0</v>
      </c>
      <c r="X12" s="38">
        <v>0</v>
      </c>
      <c r="Y12" s="38"/>
      <c r="Z12" s="39"/>
      <c r="AA12" s="39"/>
      <c r="AB12" s="40">
        <f t="shared" si="0"/>
        <v>3</v>
      </c>
      <c r="AC12" s="58"/>
    </row>
    <row r="13" spans="1:29" x14ac:dyDescent="0.25">
      <c r="A13" s="62" t="s">
        <v>13</v>
      </c>
      <c r="B13" s="59">
        <v>18815459</v>
      </c>
      <c r="C13" s="59" t="s">
        <v>74</v>
      </c>
      <c r="D13" s="25" t="s">
        <v>75</v>
      </c>
      <c r="E13" s="41"/>
      <c r="F13" s="41">
        <v>5</v>
      </c>
      <c r="G13" s="41">
        <v>6</v>
      </c>
      <c r="H13" s="41"/>
      <c r="I13" s="41">
        <v>9</v>
      </c>
      <c r="J13" s="28">
        <v>4</v>
      </c>
      <c r="K13" s="28">
        <v>2</v>
      </c>
      <c r="L13" s="28">
        <v>4</v>
      </c>
      <c r="M13" s="28">
        <v>2</v>
      </c>
      <c r="N13" s="28">
        <v>2</v>
      </c>
      <c r="O13" s="28">
        <v>3</v>
      </c>
      <c r="P13" s="28">
        <v>3</v>
      </c>
      <c r="Q13" s="28">
        <v>1</v>
      </c>
      <c r="R13" s="28">
        <v>4</v>
      </c>
      <c r="S13" s="28">
        <v>5</v>
      </c>
      <c r="T13" s="28">
        <v>0</v>
      </c>
      <c r="U13" s="29">
        <v>3</v>
      </c>
      <c r="V13" s="27">
        <v>0</v>
      </c>
      <c r="W13" s="28">
        <v>5</v>
      </c>
      <c r="X13" s="28">
        <v>0</v>
      </c>
      <c r="Y13" s="27"/>
      <c r="Z13" s="42"/>
      <c r="AA13" s="42"/>
      <c r="AB13" s="30">
        <f t="shared" si="0"/>
        <v>58</v>
      </c>
      <c r="AC13" s="56">
        <f t="shared" ref="AC13" si="3">IFERROR((AB13-(AB13-AB15))/AB13,0)</f>
        <v>3.4482758620689655E-2</v>
      </c>
    </row>
    <row r="14" spans="1:29" x14ac:dyDescent="0.25">
      <c r="A14" s="63"/>
      <c r="B14" s="60"/>
      <c r="C14" s="60"/>
      <c r="D14" s="31" t="s">
        <v>76</v>
      </c>
      <c r="E14" s="32">
        <v>0</v>
      </c>
      <c r="F14" s="33">
        <f t="shared" ref="F14:AA14" si="4">F13-F15</f>
        <v>5</v>
      </c>
      <c r="G14" s="33">
        <f t="shared" si="4"/>
        <v>6</v>
      </c>
      <c r="H14" s="33">
        <f t="shared" si="4"/>
        <v>0</v>
      </c>
      <c r="I14" s="33">
        <f t="shared" si="4"/>
        <v>9</v>
      </c>
      <c r="J14" s="33">
        <f t="shared" si="4"/>
        <v>4</v>
      </c>
      <c r="K14" s="33">
        <f t="shared" si="4"/>
        <v>2</v>
      </c>
      <c r="L14" s="33">
        <f t="shared" si="4"/>
        <v>4</v>
      </c>
      <c r="M14" s="33">
        <f t="shared" si="4"/>
        <v>2</v>
      </c>
      <c r="N14" s="33">
        <f t="shared" si="4"/>
        <v>2</v>
      </c>
      <c r="O14" s="33">
        <f t="shared" si="4"/>
        <v>3</v>
      </c>
      <c r="P14" s="33">
        <f t="shared" si="4"/>
        <v>3</v>
      </c>
      <c r="Q14" s="33">
        <f t="shared" si="4"/>
        <v>1</v>
      </c>
      <c r="R14" s="33">
        <f t="shared" si="4"/>
        <v>4</v>
      </c>
      <c r="S14" s="33">
        <f t="shared" si="4"/>
        <v>5</v>
      </c>
      <c r="T14" s="33">
        <f t="shared" si="4"/>
        <v>0</v>
      </c>
      <c r="U14" s="33">
        <f t="shared" si="4"/>
        <v>1</v>
      </c>
      <c r="V14" s="33">
        <f t="shared" si="4"/>
        <v>0</v>
      </c>
      <c r="W14" s="33">
        <f t="shared" si="4"/>
        <v>5</v>
      </c>
      <c r="X14" s="33">
        <f t="shared" si="4"/>
        <v>0</v>
      </c>
      <c r="Y14" s="33">
        <f t="shared" si="4"/>
        <v>0</v>
      </c>
      <c r="Z14" s="33"/>
      <c r="AA14" s="33">
        <f t="shared" si="4"/>
        <v>0</v>
      </c>
      <c r="AB14" s="35">
        <f t="shared" si="0"/>
        <v>56</v>
      </c>
      <c r="AC14" s="57"/>
    </row>
    <row r="15" spans="1:29" ht="16.5" thickBot="1" x14ac:dyDescent="0.3">
      <c r="A15" s="64"/>
      <c r="B15" s="61"/>
      <c r="C15" s="61"/>
      <c r="D15" s="36" t="s">
        <v>77</v>
      </c>
      <c r="E15" s="37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T15" s="38">
        <v>0</v>
      </c>
      <c r="U15" s="54">
        <v>2</v>
      </c>
      <c r="V15" s="38">
        <v>0</v>
      </c>
      <c r="W15" s="38">
        <v>0</v>
      </c>
      <c r="X15" s="38">
        <v>0</v>
      </c>
      <c r="Y15" s="38"/>
      <c r="Z15" s="39"/>
      <c r="AA15" s="39"/>
      <c r="AB15" s="40">
        <f t="shared" si="0"/>
        <v>2</v>
      </c>
      <c r="AC15" s="58"/>
    </row>
    <row r="16" spans="1:29" x14ac:dyDescent="0.25">
      <c r="A16" s="62" t="s">
        <v>25</v>
      </c>
      <c r="B16" s="59">
        <v>19351357</v>
      </c>
      <c r="C16" s="59"/>
      <c r="D16" s="25" t="s">
        <v>75</v>
      </c>
      <c r="E16" s="26">
        <v>1</v>
      </c>
      <c r="F16" s="27">
        <v>4</v>
      </c>
      <c r="G16" s="28">
        <v>3</v>
      </c>
      <c r="H16" s="28">
        <v>2</v>
      </c>
      <c r="I16" s="28">
        <v>3</v>
      </c>
      <c r="J16" s="28">
        <v>6</v>
      </c>
      <c r="K16" s="29">
        <v>3</v>
      </c>
      <c r="L16" s="28">
        <v>4</v>
      </c>
      <c r="M16" s="28">
        <v>3</v>
      </c>
      <c r="N16" s="28">
        <v>2</v>
      </c>
      <c r="O16" s="28">
        <v>11</v>
      </c>
      <c r="P16" s="27">
        <v>8</v>
      </c>
      <c r="Q16" s="28">
        <v>7</v>
      </c>
      <c r="R16" s="28">
        <v>8</v>
      </c>
      <c r="S16" s="28">
        <v>3</v>
      </c>
      <c r="T16" s="28">
        <v>3</v>
      </c>
      <c r="U16" s="29">
        <v>0</v>
      </c>
      <c r="V16" s="27">
        <v>4</v>
      </c>
      <c r="W16" s="28">
        <v>4</v>
      </c>
      <c r="X16" s="28">
        <v>3</v>
      </c>
      <c r="Y16" s="27"/>
      <c r="Z16" s="42"/>
      <c r="AA16" s="42"/>
      <c r="AB16" s="30">
        <f t="shared" si="0"/>
        <v>82</v>
      </c>
      <c r="AC16" s="56">
        <f t="shared" ref="AC16" si="5">IFERROR((AB16-(AB16-AB18))/AB16,0)</f>
        <v>2.4390243902439025E-2</v>
      </c>
    </row>
    <row r="17" spans="1:29" x14ac:dyDescent="0.25">
      <c r="A17" s="63"/>
      <c r="B17" s="60"/>
      <c r="C17" s="60"/>
      <c r="D17" s="31" t="s">
        <v>76</v>
      </c>
      <c r="E17" s="32">
        <f t="shared" ref="E17:AA17" si="6">E16-E18</f>
        <v>1</v>
      </c>
      <c r="F17" s="33">
        <f t="shared" si="6"/>
        <v>4</v>
      </c>
      <c r="G17" s="33">
        <f t="shared" si="6"/>
        <v>3</v>
      </c>
      <c r="H17" s="33">
        <f t="shared" si="6"/>
        <v>2</v>
      </c>
      <c r="I17" s="33">
        <f t="shared" si="6"/>
        <v>3</v>
      </c>
      <c r="J17" s="33">
        <f t="shared" si="6"/>
        <v>6</v>
      </c>
      <c r="K17" s="33">
        <f t="shared" si="6"/>
        <v>3</v>
      </c>
      <c r="L17" s="33">
        <f t="shared" si="6"/>
        <v>4</v>
      </c>
      <c r="M17" s="33">
        <f t="shared" si="6"/>
        <v>3</v>
      </c>
      <c r="N17" s="33">
        <f t="shared" si="6"/>
        <v>2</v>
      </c>
      <c r="O17" s="33">
        <v>4</v>
      </c>
      <c r="P17" s="33">
        <f t="shared" si="6"/>
        <v>7</v>
      </c>
      <c r="Q17" s="33">
        <f t="shared" si="6"/>
        <v>7</v>
      </c>
      <c r="R17" s="33">
        <f t="shared" si="6"/>
        <v>8</v>
      </c>
      <c r="S17" s="33">
        <f t="shared" si="6"/>
        <v>3</v>
      </c>
      <c r="T17" s="33">
        <f t="shared" si="6"/>
        <v>3</v>
      </c>
      <c r="U17" s="33">
        <f t="shared" si="6"/>
        <v>0</v>
      </c>
      <c r="V17" s="33">
        <f t="shared" si="6"/>
        <v>3</v>
      </c>
      <c r="W17" s="33">
        <f t="shared" si="6"/>
        <v>4</v>
      </c>
      <c r="X17" s="33">
        <f t="shared" si="6"/>
        <v>3</v>
      </c>
      <c r="Y17" s="33">
        <f t="shared" si="6"/>
        <v>0</v>
      </c>
      <c r="Z17" s="33"/>
      <c r="AA17" s="33">
        <f t="shared" si="6"/>
        <v>0</v>
      </c>
      <c r="AB17" s="35">
        <f t="shared" si="0"/>
        <v>73</v>
      </c>
      <c r="AC17" s="57"/>
    </row>
    <row r="18" spans="1:29" ht="16.5" thickBot="1" x14ac:dyDescent="0.3">
      <c r="A18" s="64"/>
      <c r="B18" s="61"/>
      <c r="C18" s="61"/>
      <c r="D18" s="36" t="s">
        <v>77</v>
      </c>
      <c r="E18" s="37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1</v>
      </c>
      <c r="Q18" s="38">
        <v>0</v>
      </c>
      <c r="R18" s="38">
        <v>0</v>
      </c>
      <c r="S18" s="38">
        <v>0</v>
      </c>
      <c r="T18" s="38">
        <v>0</v>
      </c>
      <c r="U18" s="54">
        <v>0</v>
      </c>
      <c r="V18" s="38">
        <v>1</v>
      </c>
      <c r="W18" s="38">
        <v>0</v>
      </c>
      <c r="X18" s="38">
        <v>0</v>
      </c>
      <c r="Y18" s="38"/>
      <c r="Z18" s="39"/>
      <c r="AA18" s="39"/>
      <c r="AB18" s="40">
        <f t="shared" si="0"/>
        <v>2</v>
      </c>
      <c r="AC18" s="58"/>
    </row>
    <row r="19" spans="1:29" x14ac:dyDescent="0.25">
      <c r="A19" s="62" t="s">
        <v>26</v>
      </c>
      <c r="B19" s="59">
        <v>13055131</v>
      </c>
      <c r="C19" s="59" t="s">
        <v>78</v>
      </c>
      <c r="D19" s="25" t="s">
        <v>75</v>
      </c>
      <c r="E19" s="26">
        <v>0</v>
      </c>
      <c r="F19" s="27">
        <v>3</v>
      </c>
      <c r="G19" s="28">
        <v>5</v>
      </c>
      <c r="H19" s="28">
        <v>8</v>
      </c>
      <c r="I19" s="28">
        <v>8</v>
      </c>
      <c r="J19" s="28">
        <v>10</v>
      </c>
      <c r="K19" s="29">
        <v>2</v>
      </c>
      <c r="L19" s="28">
        <v>7</v>
      </c>
      <c r="M19" s="28">
        <v>1</v>
      </c>
      <c r="N19" s="28">
        <v>4</v>
      </c>
      <c r="O19" s="28">
        <v>0</v>
      </c>
      <c r="P19" s="27">
        <v>0</v>
      </c>
      <c r="Q19" s="28">
        <v>5</v>
      </c>
      <c r="R19" s="27">
        <v>2</v>
      </c>
      <c r="S19" s="27">
        <v>1</v>
      </c>
      <c r="T19" s="28">
        <v>7</v>
      </c>
      <c r="U19" s="29">
        <v>8</v>
      </c>
      <c r="V19" s="28">
        <v>6</v>
      </c>
      <c r="W19" s="28">
        <v>0</v>
      </c>
      <c r="X19" s="28">
        <v>8</v>
      </c>
      <c r="Y19" s="27"/>
      <c r="Z19" s="42"/>
      <c r="AA19" s="42"/>
      <c r="AB19" s="30">
        <f t="shared" si="0"/>
        <v>85</v>
      </c>
      <c r="AC19" s="56">
        <f t="shared" ref="AC19" si="7">IFERROR((AB19-(AB19-AB21))/AB19,0)</f>
        <v>0</v>
      </c>
    </row>
    <row r="20" spans="1:29" x14ac:dyDescent="0.25">
      <c r="A20" s="63"/>
      <c r="B20" s="60"/>
      <c r="C20" s="60"/>
      <c r="D20" s="31" t="s">
        <v>76</v>
      </c>
      <c r="E20" s="32">
        <f t="shared" ref="E20:AA20" si="8">E19-E21</f>
        <v>0</v>
      </c>
      <c r="F20" s="33">
        <f t="shared" si="8"/>
        <v>3</v>
      </c>
      <c r="G20" s="33">
        <f t="shared" si="8"/>
        <v>5</v>
      </c>
      <c r="H20" s="33">
        <f t="shared" si="8"/>
        <v>8</v>
      </c>
      <c r="I20" s="33">
        <f t="shared" si="8"/>
        <v>8</v>
      </c>
      <c r="J20" s="33">
        <f t="shared" si="8"/>
        <v>10</v>
      </c>
      <c r="K20" s="33">
        <f t="shared" si="8"/>
        <v>2</v>
      </c>
      <c r="L20" s="33">
        <f t="shared" si="8"/>
        <v>7</v>
      </c>
      <c r="M20" s="33">
        <f t="shared" si="8"/>
        <v>1</v>
      </c>
      <c r="N20" s="33">
        <f t="shared" si="8"/>
        <v>4</v>
      </c>
      <c r="O20" s="33">
        <f t="shared" si="8"/>
        <v>0</v>
      </c>
      <c r="P20" s="33">
        <f t="shared" si="8"/>
        <v>0</v>
      </c>
      <c r="Q20" s="33">
        <f t="shared" si="8"/>
        <v>5</v>
      </c>
      <c r="R20" s="33">
        <f t="shared" si="8"/>
        <v>2</v>
      </c>
      <c r="S20" s="33">
        <f t="shared" si="8"/>
        <v>1</v>
      </c>
      <c r="T20" s="33">
        <f t="shared" si="8"/>
        <v>7</v>
      </c>
      <c r="U20" s="33">
        <f t="shared" si="8"/>
        <v>8</v>
      </c>
      <c r="V20" s="33">
        <f t="shared" si="8"/>
        <v>6</v>
      </c>
      <c r="W20" s="33">
        <f t="shared" si="8"/>
        <v>0</v>
      </c>
      <c r="X20" s="33">
        <f t="shared" si="8"/>
        <v>8</v>
      </c>
      <c r="Y20" s="33">
        <f t="shared" si="8"/>
        <v>0</v>
      </c>
      <c r="Z20" s="33"/>
      <c r="AA20" s="33">
        <f t="shared" si="8"/>
        <v>0</v>
      </c>
      <c r="AB20" s="35">
        <f t="shared" si="0"/>
        <v>85</v>
      </c>
      <c r="AC20" s="57"/>
    </row>
    <row r="21" spans="1:29" ht="16.5" thickBot="1" x14ac:dyDescent="0.3">
      <c r="A21" s="64"/>
      <c r="B21" s="61"/>
      <c r="C21" s="61"/>
      <c r="D21" s="36" t="s">
        <v>77</v>
      </c>
      <c r="E21" s="37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54">
        <v>0</v>
      </c>
      <c r="V21" s="38">
        <v>0</v>
      </c>
      <c r="W21" s="38">
        <v>0</v>
      </c>
      <c r="X21" s="38">
        <v>0</v>
      </c>
      <c r="Y21" s="38"/>
      <c r="Z21" s="39"/>
      <c r="AA21" s="39"/>
      <c r="AB21" s="40">
        <f t="shared" si="0"/>
        <v>0</v>
      </c>
      <c r="AC21" s="58"/>
    </row>
    <row r="22" spans="1:29" x14ac:dyDescent="0.25">
      <c r="A22" s="62" t="s">
        <v>27</v>
      </c>
      <c r="B22" s="59">
        <v>18707007</v>
      </c>
      <c r="C22" s="59" t="s">
        <v>74</v>
      </c>
      <c r="D22" s="25" t="s">
        <v>75</v>
      </c>
      <c r="E22" s="26">
        <v>0</v>
      </c>
      <c r="F22" s="27">
        <v>5</v>
      </c>
      <c r="G22" s="28">
        <v>7</v>
      </c>
      <c r="H22" s="28">
        <v>7</v>
      </c>
      <c r="I22" s="28">
        <v>8</v>
      </c>
      <c r="J22" s="28">
        <v>3</v>
      </c>
      <c r="K22" s="29">
        <v>2</v>
      </c>
      <c r="L22" s="28">
        <v>7</v>
      </c>
      <c r="M22" s="28">
        <v>2</v>
      </c>
      <c r="N22" s="28">
        <v>3</v>
      </c>
      <c r="O22" s="28">
        <v>3</v>
      </c>
      <c r="P22" s="27">
        <v>6</v>
      </c>
      <c r="Q22" s="28">
        <v>6</v>
      </c>
      <c r="R22" s="27">
        <v>5</v>
      </c>
      <c r="S22" s="27">
        <v>5</v>
      </c>
      <c r="T22" s="28">
        <v>3</v>
      </c>
      <c r="U22" s="29">
        <v>4</v>
      </c>
      <c r="V22" s="28">
        <v>5</v>
      </c>
      <c r="W22" s="28">
        <v>5</v>
      </c>
      <c r="X22" s="28">
        <v>4</v>
      </c>
      <c r="Y22" s="27"/>
      <c r="Z22" s="42"/>
      <c r="AA22" s="42"/>
      <c r="AB22" s="30">
        <f t="shared" si="0"/>
        <v>90</v>
      </c>
      <c r="AC22" s="56">
        <f t="shared" ref="AC22" si="9">IFERROR((AB22-(AB22-AB24))/AB22,0)</f>
        <v>0</v>
      </c>
    </row>
    <row r="23" spans="1:29" x14ac:dyDescent="0.25">
      <c r="A23" s="63"/>
      <c r="B23" s="60"/>
      <c r="C23" s="60"/>
      <c r="D23" s="31" t="s">
        <v>76</v>
      </c>
      <c r="E23" s="32">
        <f t="shared" ref="E23:AA23" si="10">E22-E24</f>
        <v>0</v>
      </c>
      <c r="F23" s="33">
        <f t="shared" si="10"/>
        <v>5</v>
      </c>
      <c r="G23" s="33">
        <f t="shared" si="10"/>
        <v>7</v>
      </c>
      <c r="H23" s="33">
        <f t="shared" si="10"/>
        <v>7</v>
      </c>
      <c r="I23" s="33">
        <f t="shared" si="10"/>
        <v>8</v>
      </c>
      <c r="J23" s="33">
        <f t="shared" si="10"/>
        <v>3</v>
      </c>
      <c r="K23" s="33">
        <f t="shared" si="10"/>
        <v>2</v>
      </c>
      <c r="L23" s="33">
        <f t="shared" si="10"/>
        <v>7</v>
      </c>
      <c r="M23" s="33">
        <f t="shared" si="10"/>
        <v>2</v>
      </c>
      <c r="N23" s="33">
        <f t="shared" si="10"/>
        <v>3</v>
      </c>
      <c r="O23" s="33">
        <f t="shared" si="10"/>
        <v>3</v>
      </c>
      <c r="P23" s="33">
        <f t="shared" si="10"/>
        <v>6</v>
      </c>
      <c r="Q23" s="33">
        <f t="shared" si="10"/>
        <v>6</v>
      </c>
      <c r="R23" s="33">
        <f t="shared" si="10"/>
        <v>5</v>
      </c>
      <c r="S23" s="33">
        <f t="shared" si="10"/>
        <v>5</v>
      </c>
      <c r="T23" s="33">
        <f t="shared" si="10"/>
        <v>3</v>
      </c>
      <c r="U23" s="33">
        <f t="shared" si="10"/>
        <v>4</v>
      </c>
      <c r="V23" s="33">
        <f t="shared" si="10"/>
        <v>5</v>
      </c>
      <c r="W23" s="33">
        <f t="shared" si="10"/>
        <v>5</v>
      </c>
      <c r="X23" s="33">
        <f t="shared" si="10"/>
        <v>4</v>
      </c>
      <c r="Y23" s="33">
        <f t="shared" si="10"/>
        <v>0</v>
      </c>
      <c r="Z23" s="33"/>
      <c r="AA23" s="33">
        <f t="shared" si="10"/>
        <v>0</v>
      </c>
      <c r="AB23" s="35">
        <f t="shared" si="0"/>
        <v>90</v>
      </c>
      <c r="AC23" s="57"/>
    </row>
    <row r="24" spans="1:29" ht="16.5" thickBot="1" x14ac:dyDescent="0.3">
      <c r="A24" s="64"/>
      <c r="B24" s="61"/>
      <c r="C24" s="61"/>
      <c r="D24" s="36" t="s">
        <v>77</v>
      </c>
      <c r="E24" s="37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54">
        <v>0</v>
      </c>
      <c r="V24" s="38">
        <v>0</v>
      </c>
      <c r="W24" s="38">
        <v>0</v>
      </c>
      <c r="X24" s="38">
        <v>0</v>
      </c>
      <c r="Y24" s="38"/>
      <c r="Z24" s="39"/>
      <c r="AA24" s="39"/>
      <c r="AB24" s="40">
        <f t="shared" si="0"/>
        <v>0</v>
      </c>
      <c r="AC24" s="58"/>
    </row>
    <row r="25" spans="1:29" x14ac:dyDescent="0.25">
      <c r="A25" s="62" t="s">
        <v>28</v>
      </c>
      <c r="B25" s="59">
        <v>15183308</v>
      </c>
      <c r="C25" s="59" t="s">
        <v>79</v>
      </c>
      <c r="D25" s="25" t="s">
        <v>75</v>
      </c>
      <c r="E25" s="41">
        <v>1</v>
      </c>
      <c r="F25" s="28">
        <v>2</v>
      </c>
      <c r="G25" s="28">
        <v>4</v>
      </c>
      <c r="H25" s="28">
        <v>4</v>
      </c>
      <c r="I25" s="28">
        <v>3</v>
      </c>
      <c r="J25" s="28">
        <v>6</v>
      </c>
      <c r="K25" s="29">
        <v>10</v>
      </c>
      <c r="L25" s="28">
        <v>6</v>
      </c>
      <c r="M25" s="28">
        <v>6</v>
      </c>
      <c r="N25" s="28">
        <v>6</v>
      </c>
      <c r="O25" s="28">
        <v>9</v>
      </c>
      <c r="P25" s="28">
        <v>3</v>
      </c>
      <c r="Q25" s="28">
        <v>5</v>
      </c>
      <c r="R25" s="28">
        <v>4</v>
      </c>
      <c r="S25" s="28">
        <v>1</v>
      </c>
      <c r="T25" s="28">
        <v>12</v>
      </c>
      <c r="U25" s="29">
        <v>6</v>
      </c>
      <c r="V25" s="27">
        <v>8</v>
      </c>
      <c r="W25" s="28">
        <v>6</v>
      </c>
      <c r="X25" s="28">
        <v>5</v>
      </c>
      <c r="Y25" s="27"/>
      <c r="Z25" s="42"/>
      <c r="AA25" s="42"/>
      <c r="AB25" s="30">
        <f t="shared" si="0"/>
        <v>107</v>
      </c>
      <c r="AC25" s="56">
        <f t="shared" ref="AC25" si="11">IFERROR((AB25-(AB25-AB27))/AB25,0)</f>
        <v>0</v>
      </c>
    </row>
    <row r="26" spans="1:29" x14ac:dyDescent="0.25">
      <c r="A26" s="63"/>
      <c r="B26" s="60"/>
      <c r="C26" s="60"/>
      <c r="D26" s="31" t="s">
        <v>76</v>
      </c>
      <c r="E26" s="32">
        <f t="shared" ref="E26:AA26" si="12">E25-E27</f>
        <v>1</v>
      </c>
      <c r="F26" s="33">
        <f t="shared" si="12"/>
        <v>2</v>
      </c>
      <c r="G26" s="33">
        <f t="shared" si="12"/>
        <v>4</v>
      </c>
      <c r="H26" s="33">
        <f t="shared" si="12"/>
        <v>4</v>
      </c>
      <c r="I26" s="33">
        <f t="shared" si="12"/>
        <v>3</v>
      </c>
      <c r="J26" s="33">
        <f t="shared" si="12"/>
        <v>6</v>
      </c>
      <c r="K26" s="33">
        <f t="shared" si="12"/>
        <v>10</v>
      </c>
      <c r="L26" s="33">
        <f t="shared" si="12"/>
        <v>6</v>
      </c>
      <c r="M26" s="33">
        <f t="shared" si="12"/>
        <v>6</v>
      </c>
      <c r="N26" s="33">
        <f t="shared" si="12"/>
        <v>6</v>
      </c>
      <c r="O26" s="33">
        <f t="shared" si="12"/>
        <v>9</v>
      </c>
      <c r="P26" s="33">
        <f t="shared" si="12"/>
        <v>3</v>
      </c>
      <c r="Q26" s="33">
        <f t="shared" si="12"/>
        <v>5</v>
      </c>
      <c r="R26" s="33">
        <f t="shared" si="12"/>
        <v>4</v>
      </c>
      <c r="S26" s="33">
        <f t="shared" si="12"/>
        <v>1</v>
      </c>
      <c r="T26" s="33">
        <f t="shared" si="12"/>
        <v>12</v>
      </c>
      <c r="U26" s="33">
        <f t="shared" si="12"/>
        <v>6</v>
      </c>
      <c r="V26" s="33">
        <f t="shared" si="12"/>
        <v>8</v>
      </c>
      <c r="W26" s="33">
        <f t="shared" si="12"/>
        <v>6</v>
      </c>
      <c r="X26" s="33">
        <f t="shared" si="12"/>
        <v>5</v>
      </c>
      <c r="Y26" s="33">
        <f t="shared" si="12"/>
        <v>0</v>
      </c>
      <c r="Z26" s="33"/>
      <c r="AA26" s="33">
        <f t="shared" si="12"/>
        <v>0</v>
      </c>
      <c r="AB26" s="35">
        <f t="shared" si="0"/>
        <v>107</v>
      </c>
      <c r="AC26" s="57"/>
    </row>
    <row r="27" spans="1:29" ht="16.5" thickBot="1" x14ac:dyDescent="0.3">
      <c r="A27" s="64"/>
      <c r="B27" s="61"/>
      <c r="C27" s="61"/>
      <c r="D27" s="36" t="s">
        <v>77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8">
        <v>0</v>
      </c>
      <c r="U27" s="54">
        <v>0</v>
      </c>
      <c r="V27" s="38">
        <v>0</v>
      </c>
      <c r="W27" s="38">
        <v>0</v>
      </c>
      <c r="X27" s="38">
        <v>0</v>
      </c>
      <c r="Y27" s="38"/>
      <c r="Z27" s="39"/>
      <c r="AA27" s="39"/>
      <c r="AB27" s="40">
        <f t="shared" si="0"/>
        <v>0</v>
      </c>
      <c r="AC27" s="58"/>
    </row>
    <row r="28" spans="1:29" x14ac:dyDescent="0.25">
      <c r="A28" s="62" t="s">
        <v>29</v>
      </c>
      <c r="B28" s="59">
        <v>14870782</v>
      </c>
      <c r="C28" s="59" t="s">
        <v>79</v>
      </c>
      <c r="D28" s="25" t="s">
        <v>75</v>
      </c>
      <c r="E28" s="26">
        <v>0</v>
      </c>
      <c r="F28" s="27">
        <v>0</v>
      </c>
      <c r="G28" s="28">
        <v>0</v>
      </c>
      <c r="H28" s="28">
        <v>0</v>
      </c>
      <c r="I28" s="28">
        <v>0</v>
      </c>
      <c r="J28" s="28">
        <v>0</v>
      </c>
      <c r="K28" s="29">
        <v>0</v>
      </c>
      <c r="L28" s="28">
        <v>0</v>
      </c>
      <c r="M28" s="28">
        <v>0</v>
      </c>
      <c r="N28" s="28">
        <v>0</v>
      </c>
      <c r="O28" s="28">
        <v>0</v>
      </c>
      <c r="P28" s="27">
        <v>0</v>
      </c>
      <c r="Q28" s="28">
        <v>0</v>
      </c>
      <c r="R28" s="27">
        <v>0</v>
      </c>
      <c r="S28" s="27">
        <v>0</v>
      </c>
      <c r="T28" s="28">
        <v>1</v>
      </c>
      <c r="U28" s="29">
        <v>0</v>
      </c>
      <c r="V28" s="28">
        <v>0</v>
      </c>
      <c r="W28" s="28">
        <v>0</v>
      </c>
      <c r="X28" s="28">
        <v>0</v>
      </c>
      <c r="Y28" s="27"/>
      <c r="Z28" s="42"/>
      <c r="AA28" s="42"/>
      <c r="AB28" s="30">
        <f t="shared" si="0"/>
        <v>1</v>
      </c>
      <c r="AC28" s="56">
        <f t="shared" ref="AC28" si="13">IFERROR((AB28-(AB28-AB30))/AB28,0)</f>
        <v>0</v>
      </c>
    </row>
    <row r="29" spans="1:29" x14ac:dyDescent="0.25">
      <c r="A29" s="63"/>
      <c r="B29" s="60"/>
      <c r="C29" s="60"/>
      <c r="D29" s="31" t="s">
        <v>76</v>
      </c>
      <c r="E29" s="32">
        <f t="shared" ref="E29:AA29" si="14">E28-E30</f>
        <v>0</v>
      </c>
      <c r="F29" s="33">
        <f t="shared" si="14"/>
        <v>0</v>
      </c>
      <c r="G29" s="33">
        <f t="shared" si="14"/>
        <v>0</v>
      </c>
      <c r="H29" s="33">
        <f t="shared" si="14"/>
        <v>0</v>
      </c>
      <c r="I29" s="33">
        <f t="shared" si="14"/>
        <v>0</v>
      </c>
      <c r="J29" s="33">
        <f t="shared" si="14"/>
        <v>0</v>
      </c>
      <c r="K29" s="33">
        <f t="shared" si="14"/>
        <v>0</v>
      </c>
      <c r="L29" s="33">
        <f t="shared" si="14"/>
        <v>0</v>
      </c>
      <c r="M29" s="33">
        <f t="shared" si="14"/>
        <v>0</v>
      </c>
      <c r="N29" s="33">
        <f t="shared" si="14"/>
        <v>0</v>
      </c>
      <c r="O29" s="33">
        <f t="shared" si="14"/>
        <v>0</v>
      </c>
      <c r="P29" s="33">
        <f t="shared" si="14"/>
        <v>0</v>
      </c>
      <c r="Q29" s="33">
        <f t="shared" si="14"/>
        <v>0</v>
      </c>
      <c r="R29" s="33">
        <f t="shared" si="14"/>
        <v>0</v>
      </c>
      <c r="S29" s="33">
        <f t="shared" si="14"/>
        <v>0</v>
      </c>
      <c r="T29" s="33">
        <f t="shared" si="14"/>
        <v>1</v>
      </c>
      <c r="U29" s="33">
        <f t="shared" si="14"/>
        <v>0</v>
      </c>
      <c r="V29" s="33">
        <f t="shared" si="14"/>
        <v>0</v>
      </c>
      <c r="W29" s="33">
        <f t="shared" si="14"/>
        <v>0</v>
      </c>
      <c r="X29" s="33">
        <f t="shared" si="14"/>
        <v>0</v>
      </c>
      <c r="Y29" s="33">
        <f t="shared" si="14"/>
        <v>0</v>
      </c>
      <c r="Z29" s="33">
        <f t="shared" si="14"/>
        <v>0</v>
      </c>
      <c r="AA29" s="33">
        <f t="shared" si="14"/>
        <v>0</v>
      </c>
      <c r="AB29" s="35">
        <f t="shared" si="0"/>
        <v>1</v>
      </c>
      <c r="AC29" s="57"/>
    </row>
    <row r="30" spans="1:29" ht="16.5" thickBot="1" x14ac:dyDescent="0.3">
      <c r="A30" s="64"/>
      <c r="B30" s="61"/>
      <c r="C30" s="61"/>
      <c r="D30" s="36" t="s">
        <v>77</v>
      </c>
      <c r="E30" s="37">
        <v>0</v>
      </c>
      <c r="F30" s="38">
        <v>0</v>
      </c>
      <c r="G30" s="38">
        <v>0</v>
      </c>
      <c r="H30" s="38">
        <v>0</v>
      </c>
      <c r="I30" s="38">
        <v>0</v>
      </c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0</v>
      </c>
      <c r="T30" s="38">
        <v>0</v>
      </c>
      <c r="U30" s="54">
        <v>0</v>
      </c>
      <c r="V30" s="38">
        <v>0</v>
      </c>
      <c r="W30" s="38">
        <v>0</v>
      </c>
      <c r="X30" s="38">
        <v>0</v>
      </c>
      <c r="Y30" s="38"/>
      <c r="Z30" s="39"/>
      <c r="AA30" s="39"/>
      <c r="AB30" s="40">
        <f t="shared" si="0"/>
        <v>0</v>
      </c>
      <c r="AC30" s="58"/>
    </row>
    <row r="31" spans="1:29" x14ac:dyDescent="0.25">
      <c r="A31" s="62" t="s">
        <v>30</v>
      </c>
      <c r="B31" s="59">
        <v>16113462</v>
      </c>
      <c r="C31" s="59" t="s">
        <v>74</v>
      </c>
      <c r="D31" s="25" t="s">
        <v>75</v>
      </c>
      <c r="E31" s="26">
        <v>0</v>
      </c>
      <c r="F31" s="27">
        <v>0</v>
      </c>
      <c r="G31" s="28">
        <v>0</v>
      </c>
      <c r="H31" s="28">
        <v>0</v>
      </c>
      <c r="I31" s="28">
        <v>0</v>
      </c>
      <c r="J31" s="28">
        <v>0</v>
      </c>
      <c r="K31" s="29">
        <v>0</v>
      </c>
      <c r="L31" s="28">
        <v>0</v>
      </c>
      <c r="M31" s="28">
        <v>0</v>
      </c>
      <c r="N31" s="28">
        <v>0</v>
      </c>
      <c r="O31" s="28">
        <v>0</v>
      </c>
      <c r="P31" s="27">
        <v>0</v>
      </c>
      <c r="Q31" s="28">
        <v>0</v>
      </c>
      <c r="R31" s="27">
        <v>0</v>
      </c>
      <c r="S31" s="27">
        <v>0</v>
      </c>
      <c r="T31" s="28">
        <v>1</v>
      </c>
      <c r="U31" s="29">
        <v>0</v>
      </c>
      <c r="V31" s="28">
        <v>1</v>
      </c>
      <c r="W31" s="28">
        <v>1</v>
      </c>
      <c r="X31" s="28">
        <v>0</v>
      </c>
      <c r="Y31" s="27"/>
      <c r="Z31" s="42"/>
      <c r="AA31" s="42"/>
      <c r="AB31" s="30">
        <f t="shared" si="0"/>
        <v>3</v>
      </c>
      <c r="AC31" s="56">
        <f t="shared" ref="AC31" si="15">IFERROR((AB31-(AB31-AB33))/AB31,0)</f>
        <v>0</v>
      </c>
    </row>
    <row r="32" spans="1:29" x14ac:dyDescent="0.25">
      <c r="A32" s="63"/>
      <c r="B32" s="60"/>
      <c r="C32" s="60"/>
      <c r="D32" s="31" t="s">
        <v>76</v>
      </c>
      <c r="E32" s="32">
        <f t="shared" ref="E32:AA32" si="16">E31-E33</f>
        <v>0</v>
      </c>
      <c r="F32" s="33">
        <f t="shared" si="16"/>
        <v>0</v>
      </c>
      <c r="G32" s="33">
        <f t="shared" si="16"/>
        <v>0</v>
      </c>
      <c r="H32" s="33">
        <f t="shared" si="16"/>
        <v>0</v>
      </c>
      <c r="I32" s="33">
        <f t="shared" si="16"/>
        <v>0</v>
      </c>
      <c r="J32" s="33">
        <f t="shared" si="16"/>
        <v>0</v>
      </c>
      <c r="K32" s="33">
        <f t="shared" si="16"/>
        <v>0</v>
      </c>
      <c r="L32" s="33">
        <f t="shared" si="16"/>
        <v>0</v>
      </c>
      <c r="M32" s="33">
        <f t="shared" si="16"/>
        <v>0</v>
      </c>
      <c r="N32" s="33">
        <f t="shared" si="16"/>
        <v>0</v>
      </c>
      <c r="O32" s="33">
        <f t="shared" si="16"/>
        <v>0</v>
      </c>
      <c r="P32" s="33">
        <f t="shared" si="16"/>
        <v>0</v>
      </c>
      <c r="Q32" s="33">
        <f t="shared" si="16"/>
        <v>0</v>
      </c>
      <c r="R32" s="33">
        <f t="shared" si="16"/>
        <v>0</v>
      </c>
      <c r="S32" s="33">
        <f t="shared" si="16"/>
        <v>0</v>
      </c>
      <c r="T32" s="33">
        <f t="shared" si="16"/>
        <v>1</v>
      </c>
      <c r="U32" s="33">
        <f t="shared" si="16"/>
        <v>0</v>
      </c>
      <c r="V32" s="33">
        <f t="shared" si="16"/>
        <v>1</v>
      </c>
      <c r="W32" s="33">
        <f t="shared" si="16"/>
        <v>1</v>
      </c>
      <c r="X32" s="33">
        <f t="shared" si="16"/>
        <v>0</v>
      </c>
      <c r="Y32" s="33">
        <f t="shared" si="16"/>
        <v>0</v>
      </c>
      <c r="Z32" s="33">
        <f t="shared" si="16"/>
        <v>0</v>
      </c>
      <c r="AA32" s="33">
        <f t="shared" si="16"/>
        <v>0</v>
      </c>
      <c r="AB32" s="35">
        <f t="shared" si="0"/>
        <v>3</v>
      </c>
      <c r="AC32" s="57"/>
    </row>
    <row r="33" spans="1:29" ht="16.5" thickBot="1" x14ac:dyDescent="0.3">
      <c r="A33" s="64"/>
      <c r="B33" s="61"/>
      <c r="C33" s="61"/>
      <c r="D33" s="36" t="s">
        <v>77</v>
      </c>
      <c r="E33" s="37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54">
        <v>0</v>
      </c>
      <c r="V33" s="38">
        <v>0</v>
      </c>
      <c r="W33" s="38">
        <v>0</v>
      </c>
      <c r="X33" s="38">
        <v>0</v>
      </c>
      <c r="Y33" s="38"/>
      <c r="Z33" s="39"/>
      <c r="AA33" s="39"/>
      <c r="AB33" s="40">
        <f t="shared" ref="AB33:AB96" si="17">SUM(E33:AA33)</f>
        <v>0</v>
      </c>
      <c r="AC33" s="58"/>
    </row>
    <row r="34" spans="1:29" x14ac:dyDescent="0.25">
      <c r="A34" s="62" t="s">
        <v>31</v>
      </c>
      <c r="B34" s="59">
        <v>27138234</v>
      </c>
      <c r="C34" s="59" t="s">
        <v>78</v>
      </c>
      <c r="D34" s="25" t="s">
        <v>75</v>
      </c>
      <c r="E34" s="41"/>
      <c r="F34" s="28">
        <v>2</v>
      </c>
      <c r="G34" s="28">
        <v>5</v>
      </c>
      <c r="H34" s="28">
        <v>8</v>
      </c>
      <c r="I34" s="41">
        <v>9</v>
      </c>
      <c r="J34" s="28">
        <v>4</v>
      </c>
      <c r="K34" s="27">
        <v>5</v>
      </c>
      <c r="L34" s="28">
        <v>2</v>
      </c>
      <c r="M34" s="28">
        <v>6</v>
      </c>
      <c r="N34" s="28">
        <v>4</v>
      </c>
      <c r="O34" s="28">
        <v>0</v>
      </c>
      <c r="P34" s="28">
        <v>2</v>
      </c>
      <c r="Q34" s="28">
        <v>2</v>
      </c>
      <c r="R34" s="27">
        <v>2</v>
      </c>
      <c r="S34" s="28">
        <v>3</v>
      </c>
      <c r="T34" s="28">
        <v>1</v>
      </c>
      <c r="U34" s="29">
        <v>4</v>
      </c>
      <c r="V34" s="27">
        <v>2</v>
      </c>
      <c r="W34" s="28">
        <v>4</v>
      </c>
      <c r="X34" s="28">
        <v>3</v>
      </c>
      <c r="Y34" s="27"/>
      <c r="Z34" s="42"/>
      <c r="AA34" s="42"/>
      <c r="AB34" s="30">
        <f t="shared" si="17"/>
        <v>68</v>
      </c>
      <c r="AC34" s="56">
        <f t="shared" ref="AC34" si="18">IFERROR((AB34-(AB34-AB36))/AB34,0)</f>
        <v>0</v>
      </c>
    </row>
    <row r="35" spans="1:29" x14ac:dyDescent="0.25">
      <c r="A35" s="63"/>
      <c r="B35" s="60"/>
      <c r="C35" s="60"/>
      <c r="D35" s="31" t="s">
        <v>76</v>
      </c>
      <c r="E35" s="32">
        <f t="shared" ref="E35:AA35" si="19">E34-E36</f>
        <v>0</v>
      </c>
      <c r="F35" s="33">
        <f t="shared" si="19"/>
        <v>2</v>
      </c>
      <c r="G35" s="33">
        <f t="shared" si="19"/>
        <v>5</v>
      </c>
      <c r="H35" s="33">
        <f t="shared" si="19"/>
        <v>8</v>
      </c>
      <c r="I35" s="33">
        <f t="shared" si="19"/>
        <v>9</v>
      </c>
      <c r="J35" s="33">
        <f t="shared" si="19"/>
        <v>4</v>
      </c>
      <c r="K35" s="33">
        <f t="shared" si="19"/>
        <v>5</v>
      </c>
      <c r="L35" s="33">
        <f t="shared" si="19"/>
        <v>2</v>
      </c>
      <c r="M35" s="33">
        <f t="shared" si="19"/>
        <v>6</v>
      </c>
      <c r="N35" s="33">
        <f t="shared" si="19"/>
        <v>4</v>
      </c>
      <c r="O35" s="33">
        <f t="shared" si="19"/>
        <v>0</v>
      </c>
      <c r="P35" s="33">
        <f t="shared" si="19"/>
        <v>2</v>
      </c>
      <c r="Q35" s="33">
        <f t="shared" si="19"/>
        <v>2</v>
      </c>
      <c r="R35" s="33">
        <f t="shared" si="19"/>
        <v>2</v>
      </c>
      <c r="S35" s="33">
        <f t="shared" si="19"/>
        <v>3</v>
      </c>
      <c r="T35" s="33">
        <f t="shared" si="19"/>
        <v>1</v>
      </c>
      <c r="U35" s="33">
        <f t="shared" si="19"/>
        <v>4</v>
      </c>
      <c r="V35" s="33">
        <f t="shared" si="19"/>
        <v>2</v>
      </c>
      <c r="W35" s="33">
        <f t="shared" si="19"/>
        <v>4</v>
      </c>
      <c r="X35" s="33">
        <f t="shared" si="19"/>
        <v>3</v>
      </c>
      <c r="Y35" s="33">
        <f t="shared" si="19"/>
        <v>0</v>
      </c>
      <c r="Z35" s="33"/>
      <c r="AA35" s="33">
        <f t="shared" si="19"/>
        <v>0</v>
      </c>
      <c r="AB35" s="35">
        <f t="shared" si="17"/>
        <v>68</v>
      </c>
      <c r="AC35" s="57"/>
    </row>
    <row r="36" spans="1:29" ht="16.5" thickBot="1" x14ac:dyDescent="0.3">
      <c r="A36" s="64"/>
      <c r="B36" s="61"/>
      <c r="C36" s="61"/>
      <c r="D36" s="36" t="s">
        <v>77</v>
      </c>
      <c r="E36" s="37"/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54">
        <v>0</v>
      </c>
      <c r="V36" s="38">
        <v>0</v>
      </c>
      <c r="W36" s="38">
        <v>0</v>
      </c>
      <c r="X36" s="38">
        <v>0</v>
      </c>
      <c r="Y36" s="38"/>
      <c r="Z36" s="39"/>
      <c r="AA36" s="39"/>
      <c r="AB36" s="40">
        <f t="shared" si="17"/>
        <v>0</v>
      </c>
      <c r="AC36" s="58"/>
    </row>
    <row r="37" spans="1:29" x14ac:dyDescent="0.25">
      <c r="A37" s="62" t="s">
        <v>38</v>
      </c>
      <c r="B37" s="59">
        <v>17509720</v>
      </c>
      <c r="C37" s="59" t="s">
        <v>74</v>
      </c>
      <c r="D37" s="25" t="s">
        <v>75</v>
      </c>
      <c r="E37" s="26"/>
      <c r="F37" s="27">
        <v>1</v>
      </c>
      <c r="G37" s="28"/>
      <c r="H37" s="28"/>
      <c r="I37" s="28">
        <v>1</v>
      </c>
      <c r="J37" s="28">
        <v>5</v>
      </c>
      <c r="K37" s="29">
        <v>3</v>
      </c>
      <c r="L37" s="28">
        <v>3</v>
      </c>
      <c r="M37" s="28">
        <v>3</v>
      </c>
      <c r="N37" s="28">
        <v>3</v>
      </c>
      <c r="O37" s="28">
        <v>7</v>
      </c>
      <c r="P37" s="28">
        <v>16</v>
      </c>
      <c r="Q37" s="28">
        <v>6</v>
      </c>
      <c r="R37" s="28">
        <v>4</v>
      </c>
      <c r="S37" s="28">
        <v>8</v>
      </c>
      <c r="T37" s="28">
        <v>2</v>
      </c>
      <c r="U37" s="29">
        <v>4</v>
      </c>
      <c r="V37" s="27">
        <v>3</v>
      </c>
      <c r="W37" s="28">
        <v>1</v>
      </c>
      <c r="X37" s="28">
        <v>6</v>
      </c>
      <c r="Y37" s="27"/>
      <c r="Z37" s="42"/>
      <c r="AA37" s="42"/>
      <c r="AB37" s="30">
        <f t="shared" si="17"/>
        <v>76</v>
      </c>
      <c r="AC37" s="56">
        <f t="shared" ref="AC37" si="20">IFERROR((AB37-(AB37-AB39))/AB37,0)</f>
        <v>3.9473684210526314E-2</v>
      </c>
    </row>
    <row r="38" spans="1:29" x14ac:dyDescent="0.25">
      <c r="A38" s="63"/>
      <c r="B38" s="60"/>
      <c r="C38" s="60"/>
      <c r="D38" s="31" t="s">
        <v>76</v>
      </c>
      <c r="E38" s="32">
        <f t="shared" ref="E38:AA38" si="21">E37-E39</f>
        <v>0</v>
      </c>
      <c r="F38" s="33">
        <f t="shared" si="21"/>
        <v>1</v>
      </c>
      <c r="G38" s="33">
        <f t="shared" si="21"/>
        <v>0</v>
      </c>
      <c r="H38" s="33">
        <f t="shared" si="21"/>
        <v>0</v>
      </c>
      <c r="I38" s="33">
        <f t="shared" si="21"/>
        <v>1</v>
      </c>
      <c r="J38" s="33">
        <f t="shared" si="21"/>
        <v>5</v>
      </c>
      <c r="K38" s="33">
        <f t="shared" si="21"/>
        <v>3</v>
      </c>
      <c r="L38" s="33">
        <f t="shared" si="21"/>
        <v>3</v>
      </c>
      <c r="M38" s="33">
        <f t="shared" si="21"/>
        <v>3</v>
      </c>
      <c r="N38" s="33">
        <f t="shared" si="21"/>
        <v>3</v>
      </c>
      <c r="O38" s="33">
        <f t="shared" si="21"/>
        <v>7</v>
      </c>
      <c r="P38" s="33">
        <f t="shared" si="21"/>
        <v>15</v>
      </c>
      <c r="Q38" s="33">
        <f t="shared" si="21"/>
        <v>5</v>
      </c>
      <c r="R38" s="33">
        <f t="shared" si="21"/>
        <v>3</v>
      </c>
      <c r="S38" s="33">
        <f t="shared" si="21"/>
        <v>8</v>
      </c>
      <c r="T38" s="33">
        <f t="shared" si="21"/>
        <v>2</v>
      </c>
      <c r="U38" s="33">
        <f t="shared" si="21"/>
        <v>4</v>
      </c>
      <c r="V38" s="33">
        <f t="shared" si="21"/>
        <v>3</v>
      </c>
      <c r="W38" s="33">
        <f t="shared" si="21"/>
        <v>1</v>
      </c>
      <c r="X38" s="33">
        <f t="shared" si="21"/>
        <v>6</v>
      </c>
      <c r="Y38" s="33">
        <f t="shared" si="21"/>
        <v>0</v>
      </c>
      <c r="Z38" s="33"/>
      <c r="AA38" s="33">
        <f t="shared" si="21"/>
        <v>0</v>
      </c>
      <c r="AB38" s="35">
        <f t="shared" si="17"/>
        <v>73</v>
      </c>
      <c r="AC38" s="57"/>
    </row>
    <row r="39" spans="1:29" ht="16.5" thickBot="1" x14ac:dyDescent="0.3">
      <c r="A39" s="64"/>
      <c r="B39" s="61"/>
      <c r="C39" s="61"/>
      <c r="D39" s="36" t="s">
        <v>77</v>
      </c>
      <c r="E39" s="37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1</v>
      </c>
      <c r="Q39" s="38">
        <v>1</v>
      </c>
      <c r="R39" s="38">
        <v>1</v>
      </c>
      <c r="S39" s="38">
        <v>0</v>
      </c>
      <c r="T39" s="38">
        <v>0</v>
      </c>
      <c r="U39" s="54">
        <v>0</v>
      </c>
      <c r="V39" s="38">
        <v>0</v>
      </c>
      <c r="W39" s="38">
        <v>0</v>
      </c>
      <c r="X39" s="38">
        <v>0</v>
      </c>
      <c r="Y39" s="38"/>
      <c r="Z39" s="39"/>
      <c r="AA39" s="39"/>
      <c r="AB39" s="40">
        <f t="shared" si="17"/>
        <v>3</v>
      </c>
      <c r="AC39" s="58"/>
    </row>
    <row r="40" spans="1:29" x14ac:dyDescent="0.25">
      <c r="A40" s="62" t="s">
        <v>39</v>
      </c>
      <c r="B40" s="59">
        <v>17509720</v>
      </c>
      <c r="C40" s="59" t="s">
        <v>74</v>
      </c>
      <c r="D40" s="25" t="s">
        <v>75</v>
      </c>
      <c r="E40" s="26">
        <v>1</v>
      </c>
      <c r="F40" s="27">
        <v>5</v>
      </c>
      <c r="G40" s="28">
        <v>1</v>
      </c>
      <c r="H40" s="28">
        <v>3</v>
      </c>
      <c r="I40" s="28">
        <v>4</v>
      </c>
      <c r="J40" s="28"/>
      <c r="K40" s="29">
        <v>2</v>
      </c>
      <c r="L40" s="28"/>
      <c r="M40" s="28"/>
      <c r="N40" s="28">
        <v>3</v>
      </c>
      <c r="O40" s="28">
        <v>2</v>
      </c>
      <c r="P40" s="27">
        <v>2</v>
      </c>
      <c r="Q40" s="29">
        <v>4</v>
      </c>
      <c r="R40" s="28">
        <v>3</v>
      </c>
      <c r="S40" s="27">
        <v>4</v>
      </c>
      <c r="T40" s="28">
        <v>6</v>
      </c>
      <c r="U40" s="29">
        <v>6</v>
      </c>
      <c r="V40" s="27">
        <v>6</v>
      </c>
      <c r="W40" s="28">
        <v>5</v>
      </c>
      <c r="X40" s="28">
        <v>9</v>
      </c>
      <c r="Y40" s="27"/>
      <c r="Z40" s="42"/>
      <c r="AA40" s="42"/>
      <c r="AB40" s="30">
        <f t="shared" si="17"/>
        <v>66</v>
      </c>
      <c r="AC40" s="56">
        <f t="shared" ref="AC40" si="22">IFERROR((AB40-(AB40-AB42))/AB40,0)</f>
        <v>0</v>
      </c>
    </row>
    <row r="41" spans="1:29" x14ac:dyDescent="0.25">
      <c r="A41" s="63"/>
      <c r="B41" s="60"/>
      <c r="C41" s="60"/>
      <c r="D41" s="31" t="s">
        <v>76</v>
      </c>
      <c r="E41" s="32">
        <f t="shared" ref="E41:AA41" si="23">E40-E42</f>
        <v>1</v>
      </c>
      <c r="F41" s="33">
        <f t="shared" si="23"/>
        <v>5</v>
      </c>
      <c r="G41" s="33">
        <f t="shared" si="23"/>
        <v>1</v>
      </c>
      <c r="H41" s="33">
        <f t="shared" si="23"/>
        <v>3</v>
      </c>
      <c r="I41" s="33">
        <f t="shared" si="23"/>
        <v>4</v>
      </c>
      <c r="J41" s="33">
        <f t="shared" si="23"/>
        <v>0</v>
      </c>
      <c r="K41" s="33">
        <f t="shared" si="23"/>
        <v>2</v>
      </c>
      <c r="L41" s="33">
        <f t="shared" si="23"/>
        <v>0</v>
      </c>
      <c r="M41" s="33">
        <f t="shared" si="23"/>
        <v>0</v>
      </c>
      <c r="N41" s="33">
        <f t="shared" si="23"/>
        <v>3</v>
      </c>
      <c r="O41" s="33">
        <f t="shared" si="23"/>
        <v>2</v>
      </c>
      <c r="P41" s="33">
        <f t="shared" si="23"/>
        <v>2</v>
      </c>
      <c r="Q41" s="33">
        <f t="shared" si="23"/>
        <v>4</v>
      </c>
      <c r="R41" s="33">
        <f t="shared" si="23"/>
        <v>3</v>
      </c>
      <c r="S41" s="33">
        <f t="shared" si="23"/>
        <v>4</v>
      </c>
      <c r="T41" s="33">
        <f t="shared" si="23"/>
        <v>6</v>
      </c>
      <c r="U41" s="33">
        <f t="shared" si="23"/>
        <v>6</v>
      </c>
      <c r="V41" s="33">
        <f t="shared" si="23"/>
        <v>6</v>
      </c>
      <c r="W41" s="33">
        <f t="shared" si="23"/>
        <v>5</v>
      </c>
      <c r="X41" s="33">
        <f t="shared" si="23"/>
        <v>9</v>
      </c>
      <c r="Y41" s="33">
        <f t="shared" si="23"/>
        <v>0</v>
      </c>
      <c r="Z41" s="33"/>
      <c r="AA41" s="33">
        <f t="shared" si="23"/>
        <v>0</v>
      </c>
      <c r="AB41" s="35">
        <f t="shared" si="17"/>
        <v>66</v>
      </c>
      <c r="AC41" s="57"/>
    </row>
    <row r="42" spans="1:29" ht="16.5" thickBot="1" x14ac:dyDescent="0.3">
      <c r="A42" s="64"/>
      <c r="B42" s="61"/>
      <c r="C42" s="61"/>
      <c r="D42" s="36" t="s">
        <v>77</v>
      </c>
      <c r="E42" s="37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54">
        <v>0</v>
      </c>
      <c r="V42" s="38">
        <v>0</v>
      </c>
      <c r="W42" s="38">
        <v>0</v>
      </c>
      <c r="X42" s="38">
        <v>0</v>
      </c>
      <c r="Y42" s="38"/>
      <c r="Z42" s="39"/>
      <c r="AA42" s="39"/>
      <c r="AB42" s="40">
        <f t="shared" si="17"/>
        <v>0</v>
      </c>
      <c r="AC42" s="58"/>
    </row>
    <row r="43" spans="1:29" x14ac:dyDescent="0.25">
      <c r="A43" s="62" t="s">
        <v>40</v>
      </c>
      <c r="B43" s="59">
        <v>17920549</v>
      </c>
      <c r="C43" s="59" t="s">
        <v>74</v>
      </c>
      <c r="D43" s="25" t="s">
        <v>75</v>
      </c>
      <c r="E43" s="41">
        <v>1</v>
      </c>
      <c r="F43" s="41">
        <v>3</v>
      </c>
      <c r="G43" s="41">
        <v>4</v>
      </c>
      <c r="H43" s="41">
        <v>4</v>
      </c>
      <c r="I43" s="41">
        <v>1</v>
      </c>
      <c r="J43" s="41">
        <v>8</v>
      </c>
      <c r="K43" s="41">
        <v>7</v>
      </c>
      <c r="L43" s="41">
        <v>8</v>
      </c>
      <c r="M43" s="41">
        <v>9</v>
      </c>
      <c r="N43" s="41">
        <v>9</v>
      </c>
      <c r="O43" s="41">
        <v>10</v>
      </c>
      <c r="P43" s="41">
        <v>6</v>
      </c>
      <c r="Q43" s="41">
        <v>3</v>
      </c>
      <c r="R43" s="41">
        <v>2</v>
      </c>
      <c r="S43" s="41">
        <v>6</v>
      </c>
      <c r="T43" s="28">
        <v>11</v>
      </c>
      <c r="U43" s="29">
        <v>6</v>
      </c>
      <c r="V43" s="27">
        <v>6</v>
      </c>
      <c r="W43" s="28">
        <v>6</v>
      </c>
      <c r="X43" s="28">
        <v>9</v>
      </c>
      <c r="Y43" s="27"/>
      <c r="Z43" s="42"/>
      <c r="AA43" s="42"/>
      <c r="AB43" s="30">
        <f t="shared" si="17"/>
        <v>119</v>
      </c>
      <c r="AC43" s="56">
        <f t="shared" ref="AC43" si="24">IFERROR((AB43-(AB43-AB45))/AB43,0)</f>
        <v>1.680672268907563E-2</v>
      </c>
    </row>
    <row r="44" spans="1:29" x14ac:dyDescent="0.25">
      <c r="A44" s="63"/>
      <c r="B44" s="60"/>
      <c r="C44" s="60"/>
      <c r="D44" s="31" t="s">
        <v>76</v>
      </c>
      <c r="E44" s="32">
        <f t="shared" ref="E44:AA44" si="25">E43-E45</f>
        <v>1</v>
      </c>
      <c r="F44" s="33">
        <f t="shared" si="25"/>
        <v>3</v>
      </c>
      <c r="G44" s="33">
        <f t="shared" si="25"/>
        <v>4</v>
      </c>
      <c r="H44" s="33">
        <f t="shared" si="25"/>
        <v>4</v>
      </c>
      <c r="I44" s="33">
        <f t="shared" si="25"/>
        <v>1</v>
      </c>
      <c r="J44" s="33">
        <f t="shared" si="25"/>
        <v>8</v>
      </c>
      <c r="K44" s="33">
        <f t="shared" si="25"/>
        <v>7</v>
      </c>
      <c r="L44" s="33">
        <f t="shared" si="25"/>
        <v>8</v>
      </c>
      <c r="M44" s="33">
        <f t="shared" si="25"/>
        <v>9</v>
      </c>
      <c r="N44" s="33">
        <f t="shared" si="25"/>
        <v>9</v>
      </c>
      <c r="O44" s="33">
        <f t="shared" si="25"/>
        <v>10</v>
      </c>
      <c r="P44" s="33">
        <f t="shared" si="25"/>
        <v>6</v>
      </c>
      <c r="Q44" s="33">
        <f t="shared" si="25"/>
        <v>3</v>
      </c>
      <c r="R44" s="33">
        <f t="shared" si="25"/>
        <v>2</v>
      </c>
      <c r="S44" s="33">
        <f t="shared" si="25"/>
        <v>6</v>
      </c>
      <c r="T44" s="33">
        <f t="shared" si="25"/>
        <v>11</v>
      </c>
      <c r="U44" s="33">
        <f t="shared" si="25"/>
        <v>6</v>
      </c>
      <c r="V44" s="33">
        <f t="shared" si="25"/>
        <v>5</v>
      </c>
      <c r="W44" s="33">
        <f t="shared" si="25"/>
        <v>6</v>
      </c>
      <c r="X44" s="33">
        <f t="shared" si="25"/>
        <v>8</v>
      </c>
      <c r="Y44" s="33">
        <f t="shared" si="25"/>
        <v>0</v>
      </c>
      <c r="Z44" s="33"/>
      <c r="AA44" s="33">
        <f t="shared" si="25"/>
        <v>0</v>
      </c>
      <c r="AB44" s="35">
        <f t="shared" si="17"/>
        <v>117</v>
      </c>
      <c r="AC44" s="57"/>
    </row>
    <row r="45" spans="1:29" ht="16.5" thickBot="1" x14ac:dyDescent="0.3">
      <c r="A45" s="64"/>
      <c r="B45" s="61"/>
      <c r="C45" s="61"/>
      <c r="D45" s="36" t="s">
        <v>77</v>
      </c>
      <c r="E45" s="37">
        <v>0</v>
      </c>
      <c r="F45" s="38">
        <v>0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T45" s="38">
        <v>0</v>
      </c>
      <c r="U45" s="54">
        <v>0</v>
      </c>
      <c r="V45" s="38">
        <v>1</v>
      </c>
      <c r="W45" s="38">
        <v>0</v>
      </c>
      <c r="X45" s="38">
        <v>1</v>
      </c>
      <c r="Y45" s="38"/>
      <c r="Z45" s="39"/>
      <c r="AA45" s="39"/>
      <c r="AB45" s="40">
        <f t="shared" si="17"/>
        <v>2</v>
      </c>
      <c r="AC45" s="58"/>
    </row>
    <row r="46" spans="1:29" ht="15" customHeight="1" x14ac:dyDescent="0.25">
      <c r="A46" s="62" t="s">
        <v>82</v>
      </c>
      <c r="B46" s="59">
        <v>24272425</v>
      </c>
      <c r="C46" s="59" t="s">
        <v>79</v>
      </c>
      <c r="D46" s="25" t="s">
        <v>75</v>
      </c>
      <c r="E46" s="41">
        <v>1</v>
      </c>
      <c r="F46" s="27">
        <v>3</v>
      </c>
      <c r="G46" s="28">
        <v>5</v>
      </c>
      <c r="H46" s="28">
        <v>4</v>
      </c>
      <c r="I46" s="28">
        <v>2</v>
      </c>
      <c r="J46" s="28">
        <v>7</v>
      </c>
      <c r="K46" s="28">
        <v>5</v>
      </c>
      <c r="L46" s="28">
        <v>7</v>
      </c>
      <c r="M46" s="28">
        <v>6</v>
      </c>
      <c r="N46" s="28">
        <v>5</v>
      </c>
      <c r="O46" s="28">
        <v>3</v>
      </c>
      <c r="P46" s="28">
        <v>4</v>
      </c>
      <c r="Q46" s="28">
        <v>4</v>
      </c>
      <c r="R46" s="27">
        <v>3</v>
      </c>
      <c r="S46" s="28">
        <v>4</v>
      </c>
      <c r="T46" s="28">
        <v>6</v>
      </c>
      <c r="U46" s="29">
        <v>6</v>
      </c>
      <c r="V46" s="27">
        <v>5</v>
      </c>
      <c r="W46" s="28">
        <v>4</v>
      </c>
      <c r="X46" s="28">
        <v>5</v>
      </c>
      <c r="Y46" s="27"/>
      <c r="Z46" s="42"/>
      <c r="AA46" s="42"/>
      <c r="AB46" s="30">
        <f t="shared" si="17"/>
        <v>89</v>
      </c>
      <c r="AC46" s="56">
        <f t="shared" ref="AC46" si="26">IFERROR((AB46-(AB46-AB48))/AB46,0)</f>
        <v>0</v>
      </c>
    </row>
    <row r="47" spans="1:29" x14ac:dyDescent="0.25">
      <c r="A47" s="63"/>
      <c r="B47" s="60"/>
      <c r="C47" s="60"/>
      <c r="D47" s="31" t="s">
        <v>76</v>
      </c>
      <c r="E47" s="32">
        <f t="shared" ref="E47:AA47" si="27">E46-E48</f>
        <v>1</v>
      </c>
      <c r="F47" s="33">
        <f t="shared" si="27"/>
        <v>3</v>
      </c>
      <c r="G47" s="33">
        <f t="shared" si="27"/>
        <v>5</v>
      </c>
      <c r="H47" s="33">
        <f t="shared" si="27"/>
        <v>4</v>
      </c>
      <c r="I47" s="33">
        <f t="shared" si="27"/>
        <v>2</v>
      </c>
      <c r="J47" s="33">
        <f t="shared" si="27"/>
        <v>7</v>
      </c>
      <c r="K47" s="33">
        <f t="shared" si="27"/>
        <v>5</v>
      </c>
      <c r="L47" s="33">
        <f t="shared" si="27"/>
        <v>7</v>
      </c>
      <c r="M47" s="33">
        <f t="shared" si="27"/>
        <v>6</v>
      </c>
      <c r="N47" s="33">
        <f t="shared" si="27"/>
        <v>5</v>
      </c>
      <c r="O47" s="33">
        <f t="shared" si="27"/>
        <v>3</v>
      </c>
      <c r="P47" s="33">
        <f t="shared" si="27"/>
        <v>4</v>
      </c>
      <c r="Q47" s="33">
        <f t="shared" si="27"/>
        <v>4</v>
      </c>
      <c r="R47" s="33">
        <f t="shared" si="27"/>
        <v>3</v>
      </c>
      <c r="S47" s="33">
        <f t="shared" si="27"/>
        <v>4</v>
      </c>
      <c r="T47" s="33">
        <f t="shared" si="27"/>
        <v>6</v>
      </c>
      <c r="U47" s="33">
        <f t="shared" si="27"/>
        <v>6</v>
      </c>
      <c r="V47" s="33">
        <f t="shared" si="27"/>
        <v>5</v>
      </c>
      <c r="W47" s="33">
        <f t="shared" si="27"/>
        <v>4</v>
      </c>
      <c r="X47" s="33">
        <f t="shared" si="27"/>
        <v>5</v>
      </c>
      <c r="Y47" s="33">
        <f t="shared" si="27"/>
        <v>0</v>
      </c>
      <c r="Z47" s="33"/>
      <c r="AA47" s="33">
        <f t="shared" si="27"/>
        <v>0</v>
      </c>
      <c r="AB47" s="35">
        <f t="shared" si="17"/>
        <v>89</v>
      </c>
      <c r="AC47" s="57"/>
    </row>
    <row r="48" spans="1:29" ht="16.5" thickBot="1" x14ac:dyDescent="0.3">
      <c r="A48" s="64"/>
      <c r="B48" s="61"/>
      <c r="C48" s="61"/>
      <c r="D48" s="36" t="s">
        <v>77</v>
      </c>
      <c r="E48" s="37">
        <v>0</v>
      </c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 s="54">
        <v>0</v>
      </c>
      <c r="V48" s="38">
        <v>0</v>
      </c>
      <c r="W48" s="38">
        <v>0</v>
      </c>
      <c r="X48" s="38">
        <v>0</v>
      </c>
      <c r="Y48" s="38"/>
      <c r="Z48" s="39"/>
      <c r="AA48" s="39"/>
      <c r="AB48" s="40">
        <f t="shared" si="17"/>
        <v>0</v>
      </c>
      <c r="AC48" s="58"/>
    </row>
    <row r="49" spans="1:29" hidden="1" x14ac:dyDescent="0.25">
      <c r="A49" s="67"/>
      <c r="B49" s="59">
        <v>18555906</v>
      </c>
      <c r="C49" s="59" t="s">
        <v>74</v>
      </c>
      <c r="D49" s="25" t="s">
        <v>75</v>
      </c>
      <c r="E49" s="41"/>
      <c r="F49" s="41"/>
      <c r="G49" s="28"/>
      <c r="H49" s="28"/>
      <c r="I49" s="28"/>
      <c r="J49" s="27"/>
      <c r="K49" s="27"/>
      <c r="L49" s="28"/>
      <c r="M49" s="28"/>
      <c r="N49" s="28"/>
      <c r="O49" s="28"/>
      <c r="P49" s="28"/>
      <c r="Q49" s="28"/>
      <c r="R49" s="27"/>
      <c r="S49" s="27"/>
      <c r="T49" s="28"/>
      <c r="U49" s="29"/>
      <c r="V49" s="27"/>
      <c r="W49" s="28"/>
      <c r="X49" s="28"/>
      <c r="Y49" s="27"/>
      <c r="Z49" s="42"/>
      <c r="AA49" s="42"/>
      <c r="AB49" s="30">
        <f t="shared" si="17"/>
        <v>0</v>
      </c>
      <c r="AC49" s="56">
        <f t="shared" ref="AC49" si="28">IFERROR((AB49-(AB49-AB51))/AB49,0)</f>
        <v>0</v>
      </c>
    </row>
    <row r="50" spans="1:29" hidden="1" x14ac:dyDescent="0.25">
      <c r="A50" s="68"/>
      <c r="B50" s="60"/>
      <c r="C50" s="60"/>
      <c r="D50" s="31" t="s">
        <v>76</v>
      </c>
      <c r="E50" s="32">
        <f t="shared" ref="E50:AA50" si="29">E49-E51</f>
        <v>0</v>
      </c>
      <c r="F50" s="33">
        <f t="shared" si="29"/>
        <v>0</v>
      </c>
      <c r="G50" s="33">
        <f t="shared" si="29"/>
        <v>0</v>
      </c>
      <c r="H50" s="33">
        <f t="shared" si="29"/>
        <v>0</v>
      </c>
      <c r="I50" s="33">
        <f t="shared" si="29"/>
        <v>0</v>
      </c>
      <c r="J50" s="33">
        <f t="shared" si="29"/>
        <v>0</v>
      </c>
      <c r="K50" s="33">
        <f t="shared" si="29"/>
        <v>0</v>
      </c>
      <c r="L50" s="33">
        <f t="shared" si="29"/>
        <v>0</v>
      </c>
      <c r="M50" s="33">
        <f t="shared" si="29"/>
        <v>0</v>
      </c>
      <c r="N50" s="33">
        <f t="shared" si="29"/>
        <v>0</v>
      </c>
      <c r="O50" s="33">
        <f t="shared" si="29"/>
        <v>0</v>
      </c>
      <c r="P50" s="33">
        <f t="shared" si="29"/>
        <v>0</v>
      </c>
      <c r="Q50" s="33">
        <f t="shared" si="29"/>
        <v>0</v>
      </c>
      <c r="R50" s="33">
        <f t="shared" si="29"/>
        <v>0</v>
      </c>
      <c r="S50" s="33">
        <f t="shared" si="29"/>
        <v>0</v>
      </c>
      <c r="T50" s="33">
        <f t="shared" si="29"/>
        <v>0</v>
      </c>
      <c r="U50" s="53">
        <f t="shared" si="29"/>
        <v>0</v>
      </c>
      <c r="V50" s="33">
        <f t="shared" si="29"/>
        <v>0</v>
      </c>
      <c r="W50" s="33">
        <f t="shared" si="29"/>
        <v>0</v>
      </c>
      <c r="X50" s="33">
        <f t="shared" si="29"/>
        <v>0</v>
      </c>
      <c r="Y50" s="33">
        <f t="shared" si="29"/>
        <v>0</v>
      </c>
      <c r="Z50" s="33"/>
      <c r="AA50" s="33">
        <f t="shared" si="29"/>
        <v>0</v>
      </c>
      <c r="AB50" s="35">
        <f t="shared" si="17"/>
        <v>0</v>
      </c>
      <c r="AC50" s="57"/>
    </row>
    <row r="51" spans="1:29" ht="16.5" hidden="1" thickBot="1" x14ac:dyDescent="0.3">
      <c r="A51" s="69"/>
      <c r="B51" s="61"/>
      <c r="C51" s="61"/>
      <c r="D51" s="36" t="s">
        <v>77</v>
      </c>
      <c r="E51" s="37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54"/>
      <c r="V51" s="38"/>
      <c r="W51" s="38"/>
      <c r="X51" s="38"/>
      <c r="Y51" s="38"/>
      <c r="Z51" s="39"/>
      <c r="AA51" s="39"/>
      <c r="AB51" s="40">
        <f t="shared" si="17"/>
        <v>0</v>
      </c>
      <c r="AC51" s="58"/>
    </row>
    <row r="52" spans="1:29" hidden="1" x14ac:dyDescent="0.25">
      <c r="A52" s="67"/>
      <c r="B52" s="59">
        <v>14322082</v>
      </c>
      <c r="C52" s="59" t="s">
        <v>74</v>
      </c>
      <c r="D52" s="25" t="s">
        <v>75</v>
      </c>
      <c r="E52" s="41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9"/>
      <c r="R52" s="28"/>
      <c r="S52" s="28"/>
      <c r="T52" s="28"/>
      <c r="U52" s="29"/>
      <c r="V52" s="27"/>
      <c r="W52" s="28"/>
      <c r="X52" s="28"/>
      <c r="Y52" s="27"/>
      <c r="Z52" s="42"/>
      <c r="AA52" s="42"/>
      <c r="AB52" s="30">
        <f t="shared" si="17"/>
        <v>0</v>
      </c>
      <c r="AC52" s="56">
        <f t="shared" ref="AC52" si="30">IFERROR((AB52-(AB52-AB54))/AB52,0)</f>
        <v>0</v>
      </c>
    </row>
    <row r="53" spans="1:29" hidden="1" x14ac:dyDescent="0.25">
      <c r="A53" s="68"/>
      <c r="B53" s="60"/>
      <c r="C53" s="60"/>
      <c r="D53" s="31" t="s">
        <v>76</v>
      </c>
      <c r="E53" s="32">
        <f t="shared" ref="E53:AA53" si="31">E52-E54</f>
        <v>0</v>
      </c>
      <c r="F53" s="33">
        <f t="shared" si="31"/>
        <v>0</v>
      </c>
      <c r="G53" s="33">
        <f t="shared" si="31"/>
        <v>0</v>
      </c>
      <c r="H53" s="33">
        <f t="shared" si="31"/>
        <v>0</v>
      </c>
      <c r="I53" s="33">
        <f t="shared" si="31"/>
        <v>0</v>
      </c>
      <c r="J53" s="33">
        <f t="shared" si="31"/>
        <v>0</v>
      </c>
      <c r="K53" s="33">
        <f t="shared" si="31"/>
        <v>0</v>
      </c>
      <c r="L53" s="33">
        <f t="shared" si="31"/>
        <v>0</v>
      </c>
      <c r="M53" s="33">
        <f t="shared" si="31"/>
        <v>0</v>
      </c>
      <c r="N53" s="33">
        <f t="shared" si="31"/>
        <v>0</v>
      </c>
      <c r="O53" s="33">
        <f t="shared" si="31"/>
        <v>0</v>
      </c>
      <c r="P53" s="33">
        <f t="shared" si="31"/>
        <v>0</v>
      </c>
      <c r="Q53" s="33">
        <f t="shared" si="31"/>
        <v>0</v>
      </c>
      <c r="R53" s="33">
        <f t="shared" si="31"/>
        <v>0</v>
      </c>
      <c r="S53" s="33">
        <f t="shared" si="31"/>
        <v>0</v>
      </c>
      <c r="T53" s="33">
        <f t="shared" si="31"/>
        <v>0</v>
      </c>
      <c r="U53" s="53">
        <f t="shared" si="31"/>
        <v>0</v>
      </c>
      <c r="V53" s="33">
        <f t="shared" si="31"/>
        <v>0</v>
      </c>
      <c r="W53" s="33">
        <f t="shared" si="31"/>
        <v>0</v>
      </c>
      <c r="X53" s="33">
        <f t="shared" si="31"/>
        <v>0</v>
      </c>
      <c r="Y53" s="33">
        <f t="shared" si="31"/>
        <v>0</v>
      </c>
      <c r="Z53" s="33"/>
      <c r="AA53" s="33">
        <f t="shared" si="31"/>
        <v>0</v>
      </c>
      <c r="AB53" s="35">
        <f t="shared" si="17"/>
        <v>0</v>
      </c>
      <c r="AC53" s="57"/>
    </row>
    <row r="54" spans="1:29" ht="16.5" hidden="1" thickBot="1" x14ac:dyDescent="0.3">
      <c r="A54" s="69"/>
      <c r="B54" s="61"/>
      <c r="C54" s="61"/>
      <c r="D54" s="36" t="s">
        <v>77</v>
      </c>
      <c r="E54" s="37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54"/>
      <c r="V54" s="38"/>
      <c r="W54" s="38"/>
      <c r="X54" s="38"/>
      <c r="Y54" s="38"/>
      <c r="Z54" s="39"/>
      <c r="AA54" s="39"/>
      <c r="AB54" s="40">
        <f t="shared" si="17"/>
        <v>0</v>
      </c>
      <c r="AC54" s="58"/>
    </row>
    <row r="55" spans="1:29" hidden="1" x14ac:dyDescent="0.25">
      <c r="A55" s="67"/>
      <c r="B55" s="59">
        <v>23107025</v>
      </c>
      <c r="C55" s="59" t="s">
        <v>74</v>
      </c>
      <c r="D55" s="25" t="s">
        <v>75</v>
      </c>
      <c r="E55" s="41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9"/>
      <c r="V55" s="27"/>
      <c r="W55" s="28"/>
      <c r="X55" s="28"/>
      <c r="Y55" s="27"/>
      <c r="Z55" s="42"/>
      <c r="AA55" s="42"/>
      <c r="AB55" s="30">
        <f t="shared" si="17"/>
        <v>0</v>
      </c>
      <c r="AC55" s="56">
        <f t="shared" ref="AC55" si="32">IFERROR((AB55-(AB55-AB57))/AB55,0)</f>
        <v>0</v>
      </c>
    </row>
    <row r="56" spans="1:29" hidden="1" x14ac:dyDescent="0.25">
      <c r="A56" s="68"/>
      <c r="B56" s="60"/>
      <c r="C56" s="60"/>
      <c r="D56" s="31" t="s">
        <v>76</v>
      </c>
      <c r="E56" s="32">
        <f t="shared" ref="E56:AA56" si="33">E55-E57</f>
        <v>0</v>
      </c>
      <c r="F56" s="33">
        <f t="shared" si="33"/>
        <v>0</v>
      </c>
      <c r="G56" s="33">
        <f t="shared" si="33"/>
        <v>0</v>
      </c>
      <c r="H56" s="33">
        <f t="shared" si="33"/>
        <v>0</v>
      </c>
      <c r="I56" s="33">
        <f t="shared" si="33"/>
        <v>0</v>
      </c>
      <c r="J56" s="33">
        <f t="shared" si="33"/>
        <v>0</v>
      </c>
      <c r="K56" s="33">
        <f t="shared" si="33"/>
        <v>0</v>
      </c>
      <c r="L56" s="33">
        <f t="shared" si="33"/>
        <v>0</v>
      </c>
      <c r="M56" s="33">
        <f t="shared" si="33"/>
        <v>0</v>
      </c>
      <c r="N56" s="33">
        <f t="shared" si="33"/>
        <v>0</v>
      </c>
      <c r="O56" s="33">
        <f t="shared" si="33"/>
        <v>0</v>
      </c>
      <c r="P56" s="33">
        <f t="shared" si="33"/>
        <v>0</v>
      </c>
      <c r="Q56" s="33">
        <f t="shared" si="33"/>
        <v>0</v>
      </c>
      <c r="R56" s="33">
        <f t="shared" si="33"/>
        <v>0</v>
      </c>
      <c r="S56" s="33">
        <f t="shared" si="33"/>
        <v>0</v>
      </c>
      <c r="T56" s="33">
        <f t="shared" si="33"/>
        <v>0</v>
      </c>
      <c r="U56" s="53">
        <f t="shared" si="33"/>
        <v>0</v>
      </c>
      <c r="V56" s="33">
        <f t="shared" si="33"/>
        <v>0</v>
      </c>
      <c r="W56" s="33">
        <f t="shared" si="33"/>
        <v>0</v>
      </c>
      <c r="X56" s="33">
        <f t="shared" si="33"/>
        <v>0</v>
      </c>
      <c r="Y56" s="33">
        <f t="shared" si="33"/>
        <v>0</v>
      </c>
      <c r="Z56" s="33"/>
      <c r="AA56" s="33">
        <f t="shared" si="33"/>
        <v>0</v>
      </c>
      <c r="AB56" s="35">
        <f t="shared" si="17"/>
        <v>0</v>
      </c>
      <c r="AC56" s="57"/>
    </row>
    <row r="57" spans="1:29" ht="16.5" hidden="1" thickBot="1" x14ac:dyDescent="0.3">
      <c r="A57" s="69"/>
      <c r="B57" s="61"/>
      <c r="C57" s="61"/>
      <c r="D57" s="36" t="s">
        <v>77</v>
      </c>
      <c r="E57" s="37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54"/>
      <c r="V57" s="38"/>
      <c r="W57" s="38"/>
      <c r="X57" s="38"/>
      <c r="Y57" s="38"/>
      <c r="Z57" s="39"/>
      <c r="AA57" s="39"/>
      <c r="AB57" s="40">
        <f t="shared" si="17"/>
        <v>0</v>
      </c>
      <c r="AC57" s="58"/>
    </row>
    <row r="58" spans="1:29" hidden="1" x14ac:dyDescent="0.25">
      <c r="A58" s="67"/>
      <c r="B58" s="59">
        <v>25253111</v>
      </c>
      <c r="C58" s="59" t="s">
        <v>78</v>
      </c>
      <c r="D58" s="25" t="s">
        <v>75</v>
      </c>
      <c r="E58" s="41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7"/>
      <c r="S58" s="28"/>
      <c r="T58" s="28"/>
      <c r="U58" s="29"/>
      <c r="V58" s="27"/>
      <c r="W58" s="28"/>
      <c r="X58" s="28"/>
      <c r="Y58" s="27"/>
      <c r="Z58" s="42"/>
      <c r="AA58" s="42"/>
      <c r="AB58" s="30">
        <f t="shared" si="17"/>
        <v>0</v>
      </c>
      <c r="AC58" s="56">
        <f t="shared" ref="AC58" si="34">IFERROR((AB58-(AB58-AB60))/AB58,0)</f>
        <v>0</v>
      </c>
    </row>
    <row r="59" spans="1:29" hidden="1" x14ac:dyDescent="0.25">
      <c r="A59" s="68"/>
      <c r="B59" s="60"/>
      <c r="C59" s="60"/>
      <c r="D59" s="31" t="s">
        <v>76</v>
      </c>
      <c r="E59" s="32">
        <f t="shared" ref="E59:AA59" si="35">E58-E60</f>
        <v>0</v>
      </c>
      <c r="F59" s="33">
        <f t="shared" si="35"/>
        <v>0</v>
      </c>
      <c r="G59" s="33">
        <f t="shared" si="35"/>
        <v>0</v>
      </c>
      <c r="H59" s="33">
        <f t="shared" si="35"/>
        <v>0</v>
      </c>
      <c r="I59" s="33">
        <f t="shared" si="35"/>
        <v>0</v>
      </c>
      <c r="J59" s="33">
        <f t="shared" si="35"/>
        <v>0</v>
      </c>
      <c r="K59" s="33">
        <f t="shared" si="35"/>
        <v>0</v>
      </c>
      <c r="L59" s="33">
        <f t="shared" si="35"/>
        <v>0</v>
      </c>
      <c r="M59" s="33">
        <f t="shared" si="35"/>
        <v>0</v>
      </c>
      <c r="N59" s="33">
        <f t="shared" si="35"/>
        <v>0</v>
      </c>
      <c r="O59" s="33">
        <f t="shared" si="35"/>
        <v>0</v>
      </c>
      <c r="P59" s="33">
        <f t="shared" si="35"/>
        <v>0</v>
      </c>
      <c r="Q59" s="33">
        <f t="shared" si="35"/>
        <v>0</v>
      </c>
      <c r="R59" s="33">
        <f t="shared" si="35"/>
        <v>0</v>
      </c>
      <c r="S59" s="33">
        <f t="shared" si="35"/>
        <v>0</v>
      </c>
      <c r="T59" s="33">
        <f t="shared" si="35"/>
        <v>0</v>
      </c>
      <c r="U59" s="53">
        <f t="shared" si="35"/>
        <v>0</v>
      </c>
      <c r="V59" s="33">
        <f t="shared" si="35"/>
        <v>0</v>
      </c>
      <c r="W59" s="33">
        <f t="shared" si="35"/>
        <v>0</v>
      </c>
      <c r="X59" s="33">
        <f t="shared" si="35"/>
        <v>0</v>
      </c>
      <c r="Y59" s="33">
        <f t="shared" si="35"/>
        <v>0</v>
      </c>
      <c r="Z59" s="33"/>
      <c r="AA59" s="33">
        <f t="shared" si="35"/>
        <v>0</v>
      </c>
      <c r="AB59" s="35">
        <f t="shared" si="17"/>
        <v>0</v>
      </c>
      <c r="AC59" s="57"/>
    </row>
    <row r="60" spans="1:29" ht="16.5" hidden="1" thickBot="1" x14ac:dyDescent="0.3">
      <c r="A60" s="69"/>
      <c r="B60" s="61"/>
      <c r="C60" s="61"/>
      <c r="D60" s="36" t="s">
        <v>77</v>
      </c>
      <c r="E60" s="37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54"/>
      <c r="V60" s="38"/>
      <c r="W60" s="38"/>
      <c r="X60" s="38"/>
      <c r="Y60" s="38"/>
      <c r="Z60" s="39"/>
      <c r="AA60" s="39"/>
      <c r="AB60" s="40">
        <f t="shared" si="17"/>
        <v>0</v>
      </c>
      <c r="AC60" s="58"/>
    </row>
    <row r="61" spans="1:29" hidden="1" x14ac:dyDescent="0.25">
      <c r="A61" s="67"/>
      <c r="B61" s="59">
        <v>28416086</v>
      </c>
      <c r="C61" s="59"/>
      <c r="D61" s="25" t="s">
        <v>75</v>
      </c>
      <c r="E61" s="41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9"/>
      <c r="V61" s="27"/>
      <c r="W61" s="28"/>
      <c r="X61" s="28"/>
      <c r="Y61" s="27"/>
      <c r="Z61" s="42"/>
      <c r="AA61" s="42"/>
      <c r="AB61" s="30">
        <f t="shared" si="17"/>
        <v>0</v>
      </c>
      <c r="AC61" s="56">
        <f t="shared" ref="AC61" si="36">IFERROR((AB61-(AB61-AB63))/AB61,0)</f>
        <v>0</v>
      </c>
    </row>
    <row r="62" spans="1:29" hidden="1" x14ac:dyDescent="0.25">
      <c r="A62" s="68"/>
      <c r="B62" s="60"/>
      <c r="C62" s="60"/>
      <c r="D62" s="31" t="s">
        <v>76</v>
      </c>
      <c r="E62" s="32">
        <f t="shared" ref="E62:AA62" si="37">E61-E63</f>
        <v>0</v>
      </c>
      <c r="F62" s="33">
        <f t="shared" si="37"/>
        <v>0</v>
      </c>
      <c r="G62" s="33">
        <f t="shared" si="37"/>
        <v>0</v>
      </c>
      <c r="H62" s="33">
        <f t="shared" si="37"/>
        <v>0</v>
      </c>
      <c r="I62" s="33">
        <f t="shared" si="37"/>
        <v>0</v>
      </c>
      <c r="J62" s="33">
        <f t="shared" si="37"/>
        <v>0</v>
      </c>
      <c r="K62" s="33">
        <f t="shared" si="37"/>
        <v>0</v>
      </c>
      <c r="L62" s="33">
        <f t="shared" si="37"/>
        <v>0</v>
      </c>
      <c r="M62" s="33">
        <f t="shared" si="37"/>
        <v>0</v>
      </c>
      <c r="N62" s="33">
        <f t="shared" si="37"/>
        <v>0</v>
      </c>
      <c r="O62" s="33">
        <f t="shared" si="37"/>
        <v>0</v>
      </c>
      <c r="P62" s="33">
        <f t="shared" si="37"/>
        <v>0</v>
      </c>
      <c r="Q62" s="33">
        <f t="shared" si="37"/>
        <v>0</v>
      </c>
      <c r="R62" s="33">
        <f t="shared" si="37"/>
        <v>0</v>
      </c>
      <c r="S62" s="33">
        <f t="shared" si="37"/>
        <v>0</v>
      </c>
      <c r="T62" s="33">
        <f t="shared" si="37"/>
        <v>0</v>
      </c>
      <c r="U62" s="53">
        <f t="shared" si="37"/>
        <v>0</v>
      </c>
      <c r="V62" s="33">
        <f t="shared" si="37"/>
        <v>0</v>
      </c>
      <c r="W62" s="33">
        <f t="shared" si="37"/>
        <v>0</v>
      </c>
      <c r="X62" s="33">
        <f t="shared" si="37"/>
        <v>0</v>
      </c>
      <c r="Y62" s="33">
        <f t="shared" si="37"/>
        <v>0</v>
      </c>
      <c r="Z62" s="33"/>
      <c r="AA62" s="33">
        <f t="shared" si="37"/>
        <v>0</v>
      </c>
      <c r="AB62" s="35">
        <f t="shared" si="17"/>
        <v>0</v>
      </c>
      <c r="AC62" s="57"/>
    </row>
    <row r="63" spans="1:29" ht="16.5" hidden="1" thickBot="1" x14ac:dyDescent="0.3">
      <c r="A63" s="69"/>
      <c r="B63" s="61"/>
      <c r="C63" s="61"/>
      <c r="D63" s="36" t="s">
        <v>77</v>
      </c>
      <c r="E63" s="37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54"/>
      <c r="V63" s="38"/>
      <c r="W63" s="38"/>
      <c r="X63" s="38"/>
      <c r="Y63" s="38"/>
      <c r="Z63" s="39"/>
      <c r="AA63" s="39"/>
      <c r="AB63" s="40">
        <f t="shared" si="17"/>
        <v>0</v>
      </c>
      <c r="AC63" s="58"/>
    </row>
    <row r="64" spans="1:29" hidden="1" x14ac:dyDescent="0.25">
      <c r="A64" s="67"/>
      <c r="B64" s="59">
        <v>19354092</v>
      </c>
      <c r="C64" s="59" t="s">
        <v>79</v>
      </c>
      <c r="D64" s="25" t="s">
        <v>75</v>
      </c>
      <c r="E64" s="41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9"/>
      <c r="V64" s="27"/>
      <c r="W64" s="28"/>
      <c r="X64" s="28"/>
      <c r="Y64" s="27"/>
      <c r="Z64" s="42"/>
      <c r="AA64" s="42"/>
      <c r="AB64" s="30">
        <f t="shared" si="17"/>
        <v>0</v>
      </c>
      <c r="AC64" s="56">
        <f t="shared" ref="AC64" si="38">IFERROR((AB64-(AB64-AB66))/AB64,0)</f>
        <v>0</v>
      </c>
    </row>
    <row r="65" spans="1:29" hidden="1" x14ac:dyDescent="0.25">
      <c r="A65" s="68"/>
      <c r="B65" s="60"/>
      <c r="C65" s="60"/>
      <c r="D65" s="31" t="s">
        <v>76</v>
      </c>
      <c r="E65" s="32">
        <f t="shared" ref="E65:AA65" si="39">E64-E66</f>
        <v>0</v>
      </c>
      <c r="F65" s="33">
        <f t="shared" si="39"/>
        <v>0</v>
      </c>
      <c r="G65" s="33">
        <f t="shared" si="39"/>
        <v>0</v>
      </c>
      <c r="H65" s="33">
        <f t="shared" si="39"/>
        <v>0</v>
      </c>
      <c r="I65" s="33">
        <f t="shared" si="39"/>
        <v>0</v>
      </c>
      <c r="J65" s="33">
        <f t="shared" si="39"/>
        <v>0</v>
      </c>
      <c r="K65" s="33">
        <f t="shared" si="39"/>
        <v>0</v>
      </c>
      <c r="L65" s="33">
        <f t="shared" si="39"/>
        <v>0</v>
      </c>
      <c r="M65" s="33">
        <f t="shared" si="39"/>
        <v>0</v>
      </c>
      <c r="N65" s="33">
        <f t="shared" si="39"/>
        <v>0</v>
      </c>
      <c r="O65" s="33">
        <f t="shared" si="39"/>
        <v>0</v>
      </c>
      <c r="P65" s="33">
        <f t="shared" si="39"/>
        <v>0</v>
      </c>
      <c r="Q65" s="33">
        <f t="shared" si="39"/>
        <v>0</v>
      </c>
      <c r="R65" s="33">
        <f t="shared" si="39"/>
        <v>0</v>
      </c>
      <c r="S65" s="33">
        <f t="shared" si="39"/>
        <v>0</v>
      </c>
      <c r="T65" s="33">
        <f t="shared" si="39"/>
        <v>0</v>
      </c>
      <c r="U65" s="53">
        <f t="shared" si="39"/>
        <v>0</v>
      </c>
      <c r="V65" s="33">
        <f t="shared" si="39"/>
        <v>0</v>
      </c>
      <c r="W65" s="33">
        <f t="shared" si="39"/>
        <v>0</v>
      </c>
      <c r="X65" s="33">
        <f t="shared" si="39"/>
        <v>0</v>
      </c>
      <c r="Y65" s="33">
        <f t="shared" si="39"/>
        <v>0</v>
      </c>
      <c r="Z65" s="33"/>
      <c r="AA65" s="33">
        <f t="shared" si="39"/>
        <v>0</v>
      </c>
      <c r="AB65" s="35">
        <f t="shared" si="17"/>
        <v>0</v>
      </c>
      <c r="AC65" s="57"/>
    </row>
    <row r="66" spans="1:29" ht="16.5" hidden="1" thickBot="1" x14ac:dyDescent="0.3">
      <c r="A66" s="69"/>
      <c r="B66" s="61"/>
      <c r="C66" s="61"/>
      <c r="D66" s="36" t="s">
        <v>77</v>
      </c>
      <c r="E66" s="37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54"/>
      <c r="V66" s="38"/>
      <c r="W66" s="38"/>
      <c r="X66" s="38"/>
      <c r="Y66" s="38"/>
      <c r="Z66" s="39"/>
      <c r="AA66" s="39"/>
      <c r="AB66" s="40">
        <f t="shared" si="17"/>
        <v>0</v>
      </c>
      <c r="AC66" s="58"/>
    </row>
    <row r="67" spans="1:29" hidden="1" x14ac:dyDescent="0.25">
      <c r="A67" s="67"/>
      <c r="B67" s="59">
        <v>15007270</v>
      </c>
      <c r="C67" s="59" t="s">
        <v>78</v>
      </c>
      <c r="D67" s="25" t="s">
        <v>75</v>
      </c>
      <c r="E67" s="26"/>
      <c r="F67" s="28"/>
      <c r="G67" s="28"/>
      <c r="H67" s="28"/>
      <c r="I67" s="28"/>
      <c r="J67" s="28"/>
      <c r="K67" s="29"/>
      <c r="L67" s="28"/>
      <c r="M67" s="28"/>
      <c r="N67" s="28"/>
      <c r="O67" s="28"/>
      <c r="P67" s="27"/>
      <c r="Q67" s="28"/>
      <c r="R67" s="27"/>
      <c r="S67" s="28"/>
      <c r="T67" s="28"/>
      <c r="U67" s="29"/>
      <c r="V67" s="27"/>
      <c r="W67" s="28"/>
      <c r="X67" s="28"/>
      <c r="Y67" s="27"/>
      <c r="Z67" s="42"/>
      <c r="AA67" s="42"/>
      <c r="AB67" s="30">
        <f t="shared" si="17"/>
        <v>0</v>
      </c>
      <c r="AC67" s="56">
        <f t="shared" ref="AC67" si="40">IFERROR((AB67-(AB67-AB69))/AB67,0)</f>
        <v>0</v>
      </c>
    </row>
    <row r="68" spans="1:29" hidden="1" x14ac:dyDescent="0.25">
      <c r="A68" s="68"/>
      <c r="B68" s="60"/>
      <c r="C68" s="60"/>
      <c r="D68" s="31" t="s">
        <v>76</v>
      </c>
      <c r="E68" s="32">
        <f t="shared" ref="E68:AA68" si="41">E67-E69</f>
        <v>0</v>
      </c>
      <c r="F68" s="33">
        <f t="shared" si="41"/>
        <v>0</v>
      </c>
      <c r="G68" s="33">
        <f t="shared" si="41"/>
        <v>0</v>
      </c>
      <c r="H68" s="33">
        <f t="shared" si="41"/>
        <v>0</v>
      </c>
      <c r="I68" s="33">
        <f t="shared" si="41"/>
        <v>0</v>
      </c>
      <c r="J68" s="33">
        <f t="shared" si="41"/>
        <v>0</v>
      </c>
      <c r="K68" s="33">
        <f t="shared" si="41"/>
        <v>0</v>
      </c>
      <c r="L68" s="33">
        <f t="shared" si="41"/>
        <v>0</v>
      </c>
      <c r="M68" s="33">
        <f t="shared" si="41"/>
        <v>0</v>
      </c>
      <c r="N68" s="33">
        <f t="shared" si="41"/>
        <v>0</v>
      </c>
      <c r="O68" s="33">
        <f t="shared" si="41"/>
        <v>0</v>
      </c>
      <c r="P68" s="33">
        <f t="shared" si="41"/>
        <v>0</v>
      </c>
      <c r="Q68" s="33">
        <f t="shared" si="41"/>
        <v>0</v>
      </c>
      <c r="R68" s="33">
        <f t="shared" si="41"/>
        <v>0</v>
      </c>
      <c r="S68" s="33">
        <f t="shared" si="41"/>
        <v>0</v>
      </c>
      <c r="T68" s="33">
        <f t="shared" si="41"/>
        <v>0</v>
      </c>
      <c r="U68" s="53">
        <f t="shared" si="41"/>
        <v>0</v>
      </c>
      <c r="V68" s="33">
        <f t="shared" si="41"/>
        <v>0</v>
      </c>
      <c r="W68" s="33">
        <f t="shared" si="41"/>
        <v>0</v>
      </c>
      <c r="X68" s="33">
        <f t="shared" si="41"/>
        <v>0</v>
      </c>
      <c r="Y68" s="33">
        <f t="shared" si="41"/>
        <v>0</v>
      </c>
      <c r="Z68" s="33"/>
      <c r="AA68" s="33">
        <f t="shared" si="41"/>
        <v>0</v>
      </c>
      <c r="AB68" s="35">
        <f t="shared" si="17"/>
        <v>0</v>
      </c>
      <c r="AC68" s="57"/>
    </row>
    <row r="69" spans="1:29" ht="16.5" hidden="1" thickBot="1" x14ac:dyDescent="0.3">
      <c r="A69" s="69"/>
      <c r="B69" s="61"/>
      <c r="C69" s="61"/>
      <c r="D69" s="36" t="s">
        <v>77</v>
      </c>
      <c r="E69" s="37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54"/>
      <c r="V69" s="38"/>
      <c r="W69" s="38"/>
      <c r="X69" s="38"/>
      <c r="Y69" s="38"/>
      <c r="Z69" s="39"/>
      <c r="AA69" s="39"/>
      <c r="AB69" s="40">
        <f t="shared" si="17"/>
        <v>0</v>
      </c>
      <c r="AC69" s="58"/>
    </row>
    <row r="70" spans="1:29" hidden="1" x14ac:dyDescent="0.25">
      <c r="A70" s="67"/>
      <c r="B70" s="59">
        <v>15374989</v>
      </c>
      <c r="C70" s="59" t="s">
        <v>78</v>
      </c>
      <c r="D70" s="25" t="s">
        <v>75</v>
      </c>
      <c r="E70" s="41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9"/>
      <c r="V70" s="27"/>
      <c r="W70" s="28"/>
      <c r="X70" s="28"/>
      <c r="Y70" s="27"/>
      <c r="Z70" s="42"/>
      <c r="AA70" s="42"/>
      <c r="AB70" s="30">
        <f t="shared" si="17"/>
        <v>0</v>
      </c>
      <c r="AC70" s="56">
        <f t="shared" ref="AC70" si="42">IFERROR((AB70-(AB70-AB72))/AB70,0)</f>
        <v>0</v>
      </c>
    </row>
    <row r="71" spans="1:29" hidden="1" x14ac:dyDescent="0.25">
      <c r="A71" s="68"/>
      <c r="B71" s="60"/>
      <c r="C71" s="60"/>
      <c r="D71" s="31" t="s">
        <v>76</v>
      </c>
      <c r="E71" s="32">
        <f t="shared" ref="E71:AA71" si="43">E70-E72</f>
        <v>0</v>
      </c>
      <c r="F71" s="33">
        <f t="shared" si="43"/>
        <v>0</v>
      </c>
      <c r="G71" s="33">
        <f t="shared" si="43"/>
        <v>0</v>
      </c>
      <c r="H71" s="33">
        <f t="shared" si="43"/>
        <v>0</v>
      </c>
      <c r="I71" s="33">
        <f t="shared" si="43"/>
        <v>0</v>
      </c>
      <c r="J71" s="33">
        <f t="shared" si="43"/>
        <v>0</v>
      </c>
      <c r="K71" s="33">
        <f t="shared" si="43"/>
        <v>0</v>
      </c>
      <c r="L71" s="33">
        <f t="shared" si="43"/>
        <v>0</v>
      </c>
      <c r="M71" s="33">
        <f t="shared" si="43"/>
        <v>0</v>
      </c>
      <c r="N71" s="33">
        <f t="shared" si="43"/>
        <v>0</v>
      </c>
      <c r="O71" s="33">
        <f t="shared" si="43"/>
        <v>0</v>
      </c>
      <c r="P71" s="33">
        <f t="shared" si="43"/>
        <v>0</v>
      </c>
      <c r="Q71" s="33">
        <f t="shared" si="43"/>
        <v>0</v>
      </c>
      <c r="R71" s="33">
        <f t="shared" si="43"/>
        <v>0</v>
      </c>
      <c r="S71" s="33">
        <f t="shared" si="43"/>
        <v>0</v>
      </c>
      <c r="T71" s="33">
        <f t="shared" si="43"/>
        <v>0</v>
      </c>
      <c r="U71" s="53">
        <f t="shared" si="43"/>
        <v>0</v>
      </c>
      <c r="V71" s="33">
        <f t="shared" si="43"/>
        <v>0</v>
      </c>
      <c r="W71" s="33">
        <f t="shared" si="43"/>
        <v>0</v>
      </c>
      <c r="X71" s="33">
        <f t="shared" si="43"/>
        <v>0</v>
      </c>
      <c r="Y71" s="33">
        <f t="shared" si="43"/>
        <v>0</v>
      </c>
      <c r="Z71" s="33"/>
      <c r="AA71" s="33">
        <f t="shared" si="43"/>
        <v>0</v>
      </c>
      <c r="AB71" s="35">
        <f t="shared" si="17"/>
        <v>0</v>
      </c>
      <c r="AC71" s="57"/>
    </row>
    <row r="72" spans="1:29" ht="16.5" hidden="1" thickBot="1" x14ac:dyDescent="0.3">
      <c r="A72" s="69"/>
      <c r="B72" s="61"/>
      <c r="C72" s="61"/>
      <c r="D72" s="36" t="s">
        <v>77</v>
      </c>
      <c r="E72" s="37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54"/>
      <c r="V72" s="38"/>
      <c r="W72" s="38"/>
      <c r="X72" s="38"/>
      <c r="Y72" s="38"/>
      <c r="Z72" s="39"/>
      <c r="AA72" s="39"/>
      <c r="AB72" s="40">
        <f t="shared" si="17"/>
        <v>0</v>
      </c>
      <c r="AC72" s="58"/>
    </row>
    <row r="73" spans="1:29" hidden="1" x14ac:dyDescent="0.25">
      <c r="A73" s="59"/>
      <c r="B73" s="59">
        <v>15573927</v>
      </c>
      <c r="C73" s="59" t="s">
        <v>74</v>
      </c>
      <c r="D73" s="25" t="s">
        <v>75</v>
      </c>
      <c r="E73" s="41"/>
      <c r="F73" s="28"/>
      <c r="G73" s="28"/>
      <c r="H73" s="28"/>
      <c r="I73" s="28"/>
      <c r="J73" s="28"/>
      <c r="K73" s="29"/>
      <c r="L73" s="28"/>
      <c r="M73" s="28"/>
      <c r="N73" s="28"/>
      <c r="O73" s="28"/>
      <c r="P73" s="28"/>
      <c r="Q73" s="28"/>
      <c r="R73" s="27"/>
      <c r="S73" s="27"/>
      <c r="T73" s="28"/>
      <c r="U73" s="29"/>
      <c r="V73" s="27"/>
      <c r="W73" s="28"/>
      <c r="X73" s="28"/>
      <c r="Y73" s="27"/>
      <c r="Z73" s="42"/>
      <c r="AA73" s="42"/>
      <c r="AB73" s="30">
        <f t="shared" si="17"/>
        <v>0</v>
      </c>
      <c r="AC73" s="56">
        <f t="shared" ref="AC73" si="44">IFERROR((AB73-(AB73-AB75))/AB73,0)</f>
        <v>0</v>
      </c>
    </row>
    <row r="74" spans="1:29" hidden="1" x14ac:dyDescent="0.25">
      <c r="A74" s="60"/>
      <c r="B74" s="60"/>
      <c r="C74" s="60"/>
      <c r="D74" s="31" t="s">
        <v>76</v>
      </c>
      <c r="E74" s="32">
        <f t="shared" ref="E74:AA74" si="45">E73-E75</f>
        <v>0</v>
      </c>
      <c r="F74" s="33">
        <f t="shared" si="45"/>
        <v>0</v>
      </c>
      <c r="G74" s="33">
        <f t="shared" si="45"/>
        <v>0</v>
      </c>
      <c r="H74" s="33">
        <f t="shared" si="45"/>
        <v>0</v>
      </c>
      <c r="I74" s="33">
        <f t="shared" si="45"/>
        <v>0</v>
      </c>
      <c r="J74" s="33">
        <f t="shared" si="45"/>
        <v>0</v>
      </c>
      <c r="K74" s="33">
        <f t="shared" si="45"/>
        <v>0</v>
      </c>
      <c r="L74" s="33">
        <f t="shared" si="45"/>
        <v>0</v>
      </c>
      <c r="M74" s="33">
        <f t="shared" si="45"/>
        <v>0</v>
      </c>
      <c r="N74" s="33">
        <f t="shared" si="45"/>
        <v>0</v>
      </c>
      <c r="O74" s="33">
        <f t="shared" si="45"/>
        <v>0</v>
      </c>
      <c r="P74" s="33">
        <f t="shared" si="45"/>
        <v>0</v>
      </c>
      <c r="Q74" s="33">
        <f t="shared" si="45"/>
        <v>0</v>
      </c>
      <c r="R74" s="33">
        <f t="shared" si="45"/>
        <v>0</v>
      </c>
      <c r="S74" s="33">
        <f t="shared" si="45"/>
        <v>0</v>
      </c>
      <c r="T74" s="33">
        <f t="shared" si="45"/>
        <v>0</v>
      </c>
      <c r="U74" s="53">
        <f t="shared" si="45"/>
        <v>0</v>
      </c>
      <c r="V74" s="33">
        <f t="shared" si="45"/>
        <v>0</v>
      </c>
      <c r="W74" s="33">
        <f t="shared" si="45"/>
        <v>0</v>
      </c>
      <c r="X74" s="33">
        <f t="shared" si="45"/>
        <v>0</v>
      </c>
      <c r="Y74" s="33">
        <f t="shared" si="45"/>
        <v>0</v>
      </c>
      <c r="Z74" s="33"/>
      <c r="AA74" s="33">
        <f t="shared" si="45"/>
        <v>0</v>
      </c>
      <c r="AB74" s="35">
        <f t="shared" si="17"/>
        <v>0</v>
      </c>
      <c r="AC74" s="57"/>
    </row>
    <row r="75" spans="1:29" ht="16.5" hidden="1" thickBot="1" x14ac:dyDescent="0.3">
      <c r="A75" s="61"/>
      <c r="B75" s="61"/>
      <c r="C75" s="61"/>
      <c r="D75" s="36" t="s">
        <v>77</v>
      </c>
      <c r="E75" s="37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54"/>
      <c r="V75" s="38"/>
      <c r="W75" s="38"/>
      <c r="X75" s="38"/>
      <c r="Y75" s="38"/>
      <c r="Z75" s="39"/>
      <c r="AA75" s="39"/>
      <c r="AB75" s="40">
        <f t="shared" si="17"/>
        <v>0</v>
      </c>
      <c r="AC75" s="58"/>
    </row>
    <row r="76" spans="1:29" hidden="1" x14ac:dyDescent="0.25">
      <c r="A76" s="59"/>
      <c r="B76" s="59">
        <v>13823966</v>
      </c>
      <c r="C76" s="59" t="s">
        <v>79</v>
      </c>
      <c r="D76" s="25" t="s">
        <v>75</v>
      </c>
      <c r="E76" s="41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9"/>
      <c r="V76" s="27"/>
      <c r="W76" s="28"/>
      <c r="X76" s="28"/>
      <c r="Y76" s="27"/>
      <c r="Z76" s="42"/>
      <c r="AA76" s="42"/>
      <c r="AB76" s="30">
        <f t="shared" si="17"/>
        <v>0</v>
      </c>
      <c r="AC76" s="56">
        <f t="shared" ref="AC76" si="46">IFERROR((AB76-(AB76-AB78))/AB76,0)</f>
        <v>0</v>
      </c>
    </row>
    <row r="77" spans="1:29" hidden="1" x14ac:dyDescent="0.25">
      <c r="A77" s="60"/>
      <c r="B77" s="60"/>
      <c r="C77" s="60"/>
      <c r="D77" s="31" t="s">
        <v>76</v>
      </c>
      <c r="E77" s="32">
        <f t="shared" ref="E77:AA77" si="47">E76-E78</f>
        <v>0</v>
      </c>
      <c r="F77" s="33">
        <f t="shared" si="47"/>
        <v>0</v>
      </c>
      <c r="G77" s="33">
        <f t="shared" si="47"/>
        <v>0</v>
      </c>
      <c r="H77" s="33">
        <f t="shared" si="47"/>
        <v>0</v>
      </c>
      <c r="I77" s="33">
        <f t="shared" si="47"/>
        <v>0</v>
      </c>
      <c r="J77" s="33">
        <f t="shared" si="47"/>
        <v>0</v>
      </c>
      <c r="K77" s="33">
        <f t="shared" si="47"/>
        <v>0</v>
      </c>
      <c r="L77" s="33">
        <f t="shared" si="47"/>
        <v>0</v>
      </c>
      <c r="M77" s="33">
        <f t="shared" si="47"/>
        <v>0</v>
      </c>
      <c r="N77" s="33">
        <f t="shared" si="47"/>
        <v>0</v>
      </c>
      <c r="O77" s="33">
        <f t="shared" si="47"/>
        <v>0</v>
      </c>
      <c r="P77" s="33">
        <f t="shared" si="47"/>
        <v>0</v>
      </c>
      <c r="Q77" s="33">
        <f t="shared" si="47"/>
        <v>0</v>
      </c>
      <c r="R77" s="33">
        <f t="shared" si="47"/>
        <v>0</v>
      </c>
      <c r="S77" s="33">
        <f t="shared" si="47"/>
        <v>0</v>
      </c>
      <c r="T77" s="33">
        <f t="shared" si="47"/>
        <v>0</v>
      </c>
      <c r="U77" s="53">
        <f t="shared" si="47"/>
        <v>0</v>
      </c>
      <c r="V77" s="33">
        <f t="shared" si="47"/>
        <v>0</v>
      </c>
      <c r="W77" s="33">
        <f t="shared" si="47"/>
        <v>0</v>
      </c>
      <c r="X77" s="33">
        <f t="shared" si="47"/>
        <v>0</v>
      </c>
      <c r="Y77" s="33">
        <f t="shared" si="47"/>
        <v>0</v>
      </c>
      <c r="Z77" s="33"/>
      <c r="AA77" s="33">
        <f t="shared" si="47"/>
        <v>0</v>
      </c>
      <c r="AB77" s="35">
        <f t="shared" si="17"/>
        <v>0</v>
      </c>
      <c r="AC77" s="57"/>
    </row>
    <row r="78" spans="1:29" ht="16.5" hidden="1" thickBot="1" x14ac:dyDescent="0.3">
      <c r="A78" s="61"/>
      <c r="B78" s="61"/>
      <c r="C78" s="61"/>
      <c r="D78" s="36" t="s">
        <v>77</v>
      </c>
      <c r="E78" s="37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54"/>
      <c r="V78" s="38"/>
      <c r="W78" s="38"/>
      <c r="X78" s="38"/>
      <c r="Y78" s="38"/>
      <c r="Z78" s="39"/>
      <c r="AA78" s="39"/>
      <c r="AB78" s="40">
        <f t="shared" si="17"/>
        <v>0</v>
      </c>
      <c r="AC78" s="58"/>
    </row>
    <row r="79" spans="1:29" hidden="1" x14ac:dyDescent="0.25">
      <c r="A79" s="59"/>
      <c r="B79" s="59">
        <v>19398507</v>
      </c>
      <c r="C79" s="59" t="s">
        <v>74</v>
      </c>
      <c r="D79" s="25" t="s">
        <v>75</v>
      </c>
      <c r="E79" s="41"/>
      <c r="F79" s="27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7"/>
      <c r="S79" s="28"/>
      <c r="T79" s="28"/>
      <c r="U79" s="29"/>
      <c r="V79" s="27"/>
      <c r="W79" s="28"/>
      <c r="X79" s="28"/>
      <c r="Y79" s="27"/>
      <c r="Z79" s="42"/>
      <c r="AA79" s="42"/>
      <c r="AB79" s="30">
        <f t="shared" si="17"/>
        <v>0</v>
      </c>
      <c r="AC79" s="56">
        <f t="shared" ref="AC79" si="48">IFERROR((AB79-(AB79-AB81))/AB79,0)</f>
        <v>0</v>
      </c>
    </row>
    <row r="80" spans="1:29" hidden="1" x14ac:dyDescent="0.25">
      <c r="A80" s="60"/>
      <c r="B80" s="60"/>
      <c r="C80" s="60"/>
      <c r="D80" s="31" t="s">
        <v>76</v>
      </c>
      <c r="E80" s="32">
        <f t="shared" ref="E80:AA80" si="49">E79-E81</f>
        <v>0</v>
      </c>
      <c r="F80" s="33">
        <f t="shared" si="49"/>
        <v>0</v>
      </c>
      <c r="G80" s="33">
        <f t="shared" si="49"/>
        <v>0</v>
      </c>
      <c r="H80" s="33">
        <f t="shared" si="49"/>
        <v>0</v>
      </c>
      <c r="I80" s="33">
        <f t="shared" si="49"/>
        <v>0</v>
      </c>
      <c r="J80" s="33">
        <f t="shared" si="49"/>
        <v>0</v>
      </c>
      <c r="K80" s="33">
        <f t="shared" si="49"/>
        <v>0</v>
      </c>
      <c r="L80" s="33">
        <f t="shared" si="49"/>
        <v>0</v>
      </c>
      <c r="M80" s="33">
        <f t="shared" si="49"/>
        <v>0</v>
      </c>
      <c r="N80" s="33">
        <f t="shared" si="49"/>
        <v>0</v>
      </c>
      <c r="O80" s="33">
        <f t="shared" si="49"/>
        <v>0</v>
      </c>
      <c r="P80" s="33">
        <f t="shared" si="49"/>
        <v>0</v>
      </c>
      <c r="Q80" s="33">
        <f t="shared" si="49"/>
        <v>0</v>
      </c>
      <c r="R80" s="33">
        <f t="shared" si="49"/>
        <v>0</v>
      </c>
      <c r="S80" s="33">
        <f t="shared" si="49"/>
        <v>0</v>
      </c>
      <c r="T80" s="33">
        <f t="shared" si="49"/>
        <v>0</v>
      </c>
      <c r="U80" s="53">
        <f t="shared" si="49"/>
        <v>0</v>
      </c>
      <c r="V80" s="33">
        <f t="shared" si="49"/>
        <v>0</v>
      </c>
      <c r="W80" s="33">
        <f t="shared" si="49"/>
        <v>0</v>
      </c>
      <c r="X80" s="33">
        <f t="shared" si="49"/>
        <v>0</v>
      </c>
      <c r="Y80" s="33">
        <f t="shared" si="49"/>
        <v>0</v>
      </c>
      <c r="Z80" s="33"/>
      <c r="AA80" s="33">
        <f t="shared" si="49"/>
        <v>0</v>
      </c>
      <c r="AB80" s="35">
        <f t="shared" si="17"/>
        <v>0</v>
      </c>
      <c r="AC80" s="57"/>
    </row>
    <row r="81" spans="1:29" ht="16.5" hidden="1" thickBot="1" x14ac:dyDescent="0.3">
      <c r="A81" s="61"/>
      <c r="B81" s="61"/>
      <c r="C81" s="61"/>
      <c r="D81" s="36" t="s">
        <v>77</v>
      </c>
      <c r="E81" s="37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54"/>
      <c r="V81" s="38"/>
      <c r="W81" s="38"/>
      <c r="X81" s="38"/>
      <c r="Y81" s="38"/>
      <c r="Z81" s="39"/>
      <c r="AA81" s="39"/>
      <c r="AB81" s="40">
        <f t="shared" si="17"/>
        <v>0</v>
      </c>
      <c r="AC81" s="58"/>
    </row>
    <row r="82" spans="1:29" hidden="1" x14ac:dyDescent="0.25">
      <c r="A82" s="59"/>
      <c r="B82" s="59">
        <v>16543365</v>
      </c>
      <c r="C82" s="59" t="s">
        <v>74</v>
      </c>
      <c r="D82" s="25" t="s">
        <v>75</v>
      </c>
      <c r="E82" s="41"/>
      <c r="F82" s="41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7"/>
      <c r="S82" s="28"/>
      <c r="T82" s="28"/>
      <c r="U82" s="29"/>
      <c r="V82" s="27"/>
      <c r="W82" s="28"/>
      <c r="X82" s="28"/>
      <c r="Y82" s="27"/>
      <c r="Z82" s="42"/>
      <c r="AA82" s="42"/>
      <c r="AB82" s="30">
        <f t="shared" si="17"/>
        <v>0</v>
      </c>
      <c r="AC82" s="56">
        <f t="shared" ref="AC82" si="50">IFERROR((AB82-(AB82-AB84))/AB82,0)</f>
        <v>0</v>
      </c>
    </row>
    <row r="83" spans="1:29" hidden="1" x14ac:dyDescent="0.25">
      <c r="A83" s="60"/>
      <c r="B83" s="60"/>
      <c r="C83" s="60"/>
      <c r="D83" s="31" t="s">
        <v>76</v>
      </c>
      <c r="E83" s="32">
        <f t="shared" ref="E83:AA83" si="51">E82-E84</f>
        <v>0</v>
      </c>
      <c r="F83" s="33">
        <f t="shared" si="51"/>
        <v>0</v>
      </c>
      <c r="G83" s="33">
        <f t="shared" si="51"/>
        <v>0</v>
      </c>
      <c r="H83" s="33">
        <f t="shared" si="51"/>
        <v>0</v>
      </c>
      <c r="I83" s="33">
        <f t="shared" si="51"/>
        <v>0</v>
      </c>
      <c r="J83" s="33">
        <f t="shared" si="51"/>
        <v>0</v>
      </c>
      <c r="K83" s="33">
        <f t="shared" si="51"/>
        <v>0</v>
      </c>
      <c r="L83" s="33">
        <f t="shared" si="51"/>
        <v>0</v>
      </c>
      <c r="M83" s="33">
        <f t="shared" si="51"/>
        <v>0</v>
      </c>
      <c r="N83" s="33">
        <f t="shared" si="51"/>
        <v>0</v>
      </c>
      <c r="O83" s="33">
        <f t="shared" si="51"/>
        <v>0</v>
      </c>
      <c r="P83" s="33">
        <f t="shared" si="51"/>
        <v>0</v>
      </c>
      <c r="Q83" s="33">
        <f t="shared" si="51"/>
        <v>0</v>
      </c>
      <c r="R83" s="33">
        <f t="shared" si="51"/>
        <v>0</v>
      </c>
      <c r="S83" s="33">
        <f t="shared" si="51"/>
        <v>0</v>
      </c>
      <c r="T83" s="33">
        <f t="shared" si="51"/>
        <v>0</v>
      </c>
      <c r="U83" s="53">
        <f t="shared" si="51"/>
        <v>0</v>
      </c>
      <c r="V83" s="33">
        <f t="shared" si="51"/>
        <v>0</v>
      </c>
      <c r="W83" s="33">
        <f t="shared" si="51"/>
        <v>0</v>
      </c>
      <c r="X83" s="33">
        <f t="shared" si="51"/>
        <v>0</v>
      </c>
      <c r="Y83" s="33">
        <f t="shared" si="51"/>
        <v>0</v>
      </c>
      <c r="Z83" s="33"/>
      <c r="AA83" s="33">
        <f t="shared" si="51"/>
        <v>0</v>
      </c>
      <c r="AB83" s="35">
        <f t="shared" si="17"/>
        <v>0</v>
      </c>
      <c r="AC83" s="57"/>
    </row>
    <row r="84" spans="1:29" ht="16.5" hidden="1" thickBot="1" x14ac:dyDescent="0.3">
      <c r="A84" s="61"/>
      <c r="B84" s="61"/>
      <c r="C84" s="61"/>
      <c r="D84" s="36" t="s">
        <v>77</v>
      </c>
      <c r="E84" s="37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54"/>
      <c r="V84" s="38"/>
      <c r="W84" s="38"/>
      <c r="X84" s="38"/>
      <c r="Y84" s="38"/>
      <c r="Z84" s="39"/>
      <c r="AA84" s="39"/>
      <c r="AB84" s="40">
        <f t="shared" si="17"/>
        <v>0</v>
      </c>
      <c r="AC84" s="58"/>
    </row>
    <row r="85" spans="1:29" hidden="1" x14ac:dyDescent="0.25">
      <c r="A85" s="59"/>
      <c r="B85" s="59">
        <v>19561647</v>
      </c>
      <c r="C85" s="59" t="s">
        <v>79</v>
      </c>
      <c r="D85" s="25" t="s">
        <v>75</v>
      </c>
      <c r="E85" s="41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9"/>
      <c r="V85" s="27"/>
      <c r="W85" s="28"/>
      <c r="X85" s="28"/>
      <c r="Y85" s="27"/>
      <c r="Z85" s="42"/>
      <c r="AA85" s="42"/>
      <c r="AB85" s="30">
        <f t="shared" si="17"/>
        <v>0</v>
      </c>
      <c r="AC85" s="56">
        <f t="shared" ref="AC85" si="52">IFERROR((AB85-(AB85-AB87))/AB85,0)</f>
        <v>0</v>
      </c>
    </row>
    <row r="86" spans="1:29" hidden="1" x14ac:dyDescent="0.25">
      <c r="A86" s="60"/>
      <c r="B86" s="60"/>
      <c r="C86" s="60"/>
      <c r="D86" s="31" t="s">
        <v>76</v>
      </c>
      <c r="E86" s="32">
        <f t="shared" ref="E86:AA86" si="53">E85-E87</f>
        <v>0</v>
      </c>
      <c r="F86" s="33">
        <f t="shared" si="53"/>
        <v>0</v>
      </c>
      <c r="G86" s="33">
        <f t="shared" si="53"/>
        <v>0</v>
      </c>
      <c r="H86" s="33">
        <f t="shared" si="53"/>
        <v>0</v>
      </c>
      <c r="I86" s="33">
        <f t="shared" si="53"/>
        <v>0</v>
      </c>
      <c r="J86" s="33">
        <f t="shared" si="53"/>
        <v>0</v>
      </c>
      <c r="K86" s="33">
        <f t="shared" si="53"/>
        <v>0</v>
      </c>
      <c r="L86" s="33">
        <f t="shared" si="53"/>
        <v>0</v>
      </c>
      <c r="M86" s="33">
        <f t="shared" si="53"/>
        <v>0</v>
      </c>
      <c r="N86" s="33">
        <f t="shared" si="53"/>
        <v>0</v>
      </c>
      <c r="O86" s="33">
        <f t="shared" si="53"/>
        <v>0</v>
      </c>
      <c r="P86" s="33">
        <f t="shared" si="53"/>
        <v>0</v>
      </c>
      <c r="Q86" s="33">
        <f t="shared" si="53"/>
        <v>0</v>
      </c>
      <c r="R86" s="33">
        <f t="shared" si="53"/>
        <v>0</v>
      </c>
      <c r="S86" s="33">
        <f t="shared" si="53"/>
        <v>0</v>
      </c>
      <c r="T86" s="33">
        <f t="shared" si="53"/>
        <v>0</v>
      </c>
      <c r="U86" s="53">
        <f t="shared" si="53"/>
        <v>0</v>
      </c>
      <c r="V86" s="33">
        <f t="shared" si="53"/>
        <v>0</v>
      </c>
      <c r="W86" s="33">
        <f t="shared" si="53"/>
        <v>0</v>
      </c>
      <c r="X86" s="33">
        <f t="shared" si="53"/>
        <v>0</v>
      </c>
      <c r="Y86" s="33">
        <f t="shared" si="53"/>
        <v>0</v>
      </c>
      <c r="Z86" s="33"/>
      <c r="AA86" s="33">
        <f t="shared" si="53"/>
        <v>0</v>
      </c>
      <c r="AB86" s="35">
        <f t="shared" si="17"/>
        <v>0</v>
      </c>
      <c r="AC86" s="57"/>
    </row>
    <row r="87" spans="1:29" ht="16.5" hidden="1" thickBot="1" x14ac:dyDescent="0.3">
      <c r="A87" s="61"/>
      <c r="B87" s="61"/>
      <c r="C87" s="61"/>
      <c r="D87" s="36" t="s">
        <v>77</v>
      </c>
      <c r="E87" s="37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54"/>
      <c r="V87" s="38"/>
      <c r="W87" s="38"/>
      <c r="X87" s="38"/>
      <c r="Y87" s="38"/>
      <c r="Z87" s="39"/>
      <c r="AA87" s="39"/>
      <c r="AB87" s="40">
        <f t="shared" si="17"/>
        <v>0</v>
      </c>
      <c r="AC87" s="58"/>
    </row>
    <row r="88" spans="1:29" hidden="1" x14ac:dyDescent="0.25">
      <c r="A88" s="59"/>
      <c r="B88" s="59">
        <v>19561647</v>
      </c>
      <c r="C88" s="59" t="s">
        <v>79</v>
      </c>
      <c r="D88" s="25" t="s">
        <v>75</v>
      </c>
      <c r="E88" s="41"/>
      <c r="F88" s="28"/>
      <c r="G88" s="28"/>
      <c r="H88" s="28"/>
      <c r="I88" s="28"/>
      <c r="J88" s="28"/>
      <c r="K88" s="29"/>
      <c r="L88" s="28"/>
      <c r="M88" s="28"/>
      <c r="N88" s="28"/>
      <c r="O88" s="28"/>
      <c r="P88" s="28"/>
      <c r="Q88" s="28"/>
      <c r="R88" s="28"/>
      <c r="S88" s="28"/>
      <c r="T88" s="28"/>
      <c r="U88" s="29"/>
      <c r="V88" s="27"/>
      <c r="W88" s="28"/>
      <c r="X88" s="28"/>
      <c r="Y88" s="27"/>
      <c r="Z88" s="42"/>
      <c r="AA88" s="42"/>
      <c r="AB88" s="30">
        <f t="shared" si="17"/>
        <v>0</v>
      </c>
      <c r="AC88" s="56">
        <f t="shared" ref="AC88" si="54">IFERROR((AB88-(AB88-AB90))/AB88,0)</f>
        <v>0</v>
      </c>
    </row>
    <row r="89" spans="1:29" hidden="1" x14ac:dyDescent="0.25">
      <c r="A89" s="60"/>
      <c r="B89" s="60"/>
      <c r="C89" s="60"/>
      <c r="D89" s="31" t="s">
        <v>76</v>
      </c>
      <c r="E89" s="32">
        <f t="shared" ref="E89:AA89" si="55">E88-E90</f>
        <v>0</v>
      </c>
      <c r="F89" s="33">
        <f t="shared" si="55"/>
        <v>0</v>
      </c>
      <c r="G89" s="33">
        <f t="shared" si="55"/>
        <v>0</v>
      </c>
      <c r="H89" s="33">
        <f t="shared" si="55"/>
        <v>0</v>
      </c>
      <c r="I89" s="33">
        <f t="shared" si="55"/>
        <v>0</v>
      </c>
      <c r="J89" s="33">
        <f t="shared" si="55"/>
        <v>0</v>
      </c>
      <c r="K89" s="33">
        <f t="shared" si="55"/>
        <v>0</v>
      </c>
      <c r="L89" s="33">
        <f t="shared" si="55"/>
        <v>0</v>
      </c>
      <c r="M89" s="33">
        <f t="shared" si="55"/>
        <v>0</v>
      </c>
      <c r="N89" s="33">
        <f t="shared" si="55"/>
        <v>0</v>
      </c>
      <c r="O89" s="33">
        <f t="shared" si="55"/>
        <v>0</v>
      </c>
      <c r="P89" s="33">
        <f t="shared" si="55"/>
        <v>0</v>
      </c>
      <c r="Q89" s="33">
        <f t="shared" si="55"/>
        <v>0</v>
      </c>
      <c r="R89" s="33">
        <f t="shared" si="55"/>
        <v>0</v>
      </c>
      <c r="S89" s="33">
        <f t="shared" si="55"/>
        <v>0</v>
      </c>
      <c r="T89" s="33">
        <f t="shared" si="55"/>
        <v>0</v>
      </c>
      <c r="U89" s="53">
        <f t="shared" si="55"/>
        <v>0</v>
      </c>
      <c r="V89" s="33">
        <f t="shared" si="55"/>
        <v>0</v>
      </c>
      <c r="W89" s="33">
        <f t="shared" si="55"/>
        <v>0</v>
      </c>
      <c r="X89" s="33">
        <f t="shared" si="55"/>
        <v>0</v>
      </c>
      <c r="Y89" s="33">
        <f t="shared" si="55"/>
        <v>0</v>
      </c>
      <c r="Z89" s="33"/>
      <c r="AA89" s="33">
        <f t="shared" si="55"/>
        <v>0</v>
      </c>
      <c r="AB89" s="35">
        <f t="shared" si="17"/>
        <v>0</v>
      </c>
      <c r="AC89" s="57"/>
    </row>
    <row r="90" spans="1:29" ht="16.5" hidden="1" thickBot="1" x14ac:dyDescent="0.3">
      <c r="A90" s="61"/>
      <c r="B90" s="61"/>
      <c r="C90" s="61"/>
      <c r="D90" s="36" t="s">
        <v>77</v>
      </c>
      <c r="E90" s="37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54"/>
      <c r="V90" s="38"/>
      <c r="W90" s="38"/>
      <c r="X90" s="38"/>
      <c r="Y90" s="38"/>
      <c r="Z90" s="39"/>
      <c r="AA90" s="39"/>
      <c r="AB90" s="40">
        <f t="shared" si="17"/>
        <v>0</v>
      </c>
      <c r="AC90" s="58"/>
    </row>
    <row r="91" spans="1:29" hidden="1" x14ac:dyDescent="0.25">
      <c r="A91" s="59"/>
      <c r="B91" s="59">
        <v>23107456</v>
      </c>
      <c r="C91" s="59" t="s">
        <v>78</v>
      </c>
      <c r="D91" s="25" t="s">
        <v>75</v>
      </c>
      <c r="E91" s="41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9"/>
      <c r="V91" s="27"/>
      <c r="W91" s="28"/>
      <c r="X91" s="28"/>
      <c r="Y91" s="27"/>
      <c r="Z91" s="42"/>
      <c r="AA91" s="42"/>
      <c r="AB91" s="30">
        <f t="shared" si="17"/>
        <v>0</v>
      </c>
      <c r="AC91" s="56">
        <f t="shared" ref="AC91" si="56">IFERROR((AB91-(AB91-AB93))/AB91,0)</f>
        <v>0</v>
      </c>
    </row>
    <row r="92" spans="1:29" hidden="1" x14ac:dyDescent="0.25">
      <c r="A92" s="60"/>
      <c r="B92" s="60"/>
      <c r="C92" s="60"/>
      <c r="D92" s="31" t="s">
        <v>76</v>
      </c>
      <c r="E92" s="32">
        <f t="shared" ref="E92:AA92" si="57">E91-E93</f>
        <v>0</v>
      </c>
      <c r="F92" s="33">
        <f t="shared" si="57"/>
        <v>0</v>
      </c>
      <c r="G92" s="33">
        <f t="shared" si="57"/>
        <v>0</v>
      </c>
      <c r="H92" s="33">
        <f t="shared" si="57"/>
        <v>0</v>
      </c>
      <c r="I92" s="33">
        <f t="shared" si="57"/>
        <v>0</v>
      </c>
      <c r="J92" s="33">
        <f t="shared" si="57"/>
        <v>0</v>
      </c>
      <c r="K92" s="33">
        <f t="shared" si="57"/>
        <v>0</v>
      </c>
      <c r="L92" s="33">
        <f t="shared" si="57"/>
        <v>0</v>
      </c>
      <c r="M92" s="33">
        <f t="shared" si="57"/>
        <v>0</v>
      </c>
      <c r="N92" s="33">
        <f t="shared" si="57"/>
        <v>0</v>
      </c>
      <c r="O92" s="33">
        <f t="shared" si="57"/>
        <v>0</v>
      </c>
      <c r="P92" s="33">
        <f t="shared" si="57"/>
        <v>0</v>
      </c>
      <c r="Q92" s="33">
        <f t="shared" si="57"/>
        <v>0</v>
      </c>
      <c r="R92" s="33">
        <f t="shared" si="57"/>
        <v>0</v>
      </c>
      <c r="S92" s="33">
        <f t="shared" si="57"/>
        <v>0</v>
      </c>
      <c r="T92" s="33">
        <f t="shared" si="57"/>
        <v>0</v>
      </c>
      <c r="U92" s="53">
        <f t="shared" si="57"/>
        <v>0</v>
      </c>
      <c r="V92" s="33">
        <f t="shared" si="57"/>
        <v>0</v>
      </c>
      <c r="W92" s="33">
        <f t="shared" si="57"/>
        <v>0</v>
      </c>
      <c r="X92" s="33">
        <f t="shared" si="57"/>
        <v>0</v>
      </c>
      <c r="Y92" s="33">
        <f t="shared" si="57"/>
        <v>0</v>
      </c>
      <c r="Z92" s="33"/>
      <c r="AA92" s="33">
        <f t="shared" si="57"/>
        <v>0</v>
      </c>
      <c r="AB92" s="35">
        <f t="shared" si="17"/>
        <v>0</v>
      </c>
      <c r="AC92" s="57"/>
    </row>
    <row r="93" spans="1:29" ht="16.5" hidden="1" thickBot="1" x14ac:dyDescent="0.3">
      <c r="A93" s="61"/>
      <c r="B93" s="61"/>
      <c r="C93" s="61"/>
      <c r="D93" s="36" t="s">
        <v>77</v>
      </c>
      <c r="E93" s="37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54"/>
      <c r="V93" s="38"/>
      <c r="W93" s="38"/>
      <c r="X93" s="38"/>
      <c r="Y93" s="38"/>
      <c r="Z93" s="39"/>
      <c r="AA93" s="39"/>
      <c r="AB93" s="40">
        <f t="shared" si="17"/>
        <v>0</v>
      </c>
      <c r="AC93" s="58"/>
    </row>
    <row r="94" spans="1:29" hidden="1" x14ac:dyDescent="0.25">
      <c r="A94" s="59"/>
      <c r="B94" s="59">
        <v>23107456</v>
      </c>
      <c r="C94" s="59" t="s">
        <v>78</v>
      </c>
      <c r="D94" s="25" t="s">
        <v>75</v>
      </c>
      <c r="E94" s="41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9"/>
      <c r="V94" s="27"/>
      <c r="W94" s="28"/>
      <c r="X94" s="28"/>
      <c r="Y94" s="27"/>
      <c r="Z94" s="42"/>
      <c r="AA94" s="42"/>
      <c r="AB94" s="30">
        <f t="shared" si="17"/>
        <v>0</v>
      </c>
      <c r="AC94" s="56">
        <f t="shared" ref="AC94" si="58">IFERROR((AB94-(AB94-AB96))/AB94,0)</f>
        <v>0</v>
      </c>
    </row>
    <row r="95" spans="1:29" hidden="1" x14ac:dyDescent="0.25">
      <c r="A95" s="60"/>
      <c r="B95" s="60"/>
      <c r="C95" s="60"/>
      <c r="D95" s="31" t="s">
        <v>76</v>
      </c>
      <c r="E95" s="32">
        <f t="shared" ref="E95:AA95" si="59">E94-E96</f>
        <v>0</v>
      </c>
      <c r="F95" s="33">
        <f t="shared" si="59"/>
        <v>0</v>
      </c>
      <c r="G95" s="33">
        <f t="shared" si="59"/>
        <v>0</v>
      </c>
      <c r="H95" s="33">
        <f t="shared" si="59"/>
        <v>0</v>
      </c>
      <c r="I95" s="33">
        <f t="shared" si="59"/>
        <v>0</v>
      </c>
      <c r="J95" s="33">
        <f t="shared" si="59"/>
        <v>0</v>
      </c>
      <c r="K95" s="33">
        <f t="shared" si="59"/>
        <v>0</v>
      </c>
      <c r="L95" s="33">
        <f t="shared" si="59"/>
        <v>0</v>
      </c>
      <c r="M95" s="33">
        <f t="shared" si="59"/>
        <v>0</v>
      </c>
      <c r="N95" s="33">
        <f t="shared" si="59"/>
        <v>0</v>
      </c>
      <c r="O95" s="33">
        <f t="shared" si="59"/>
        <v>0</v>
      </c>
      <c r="P95" s="33">
        <f t="shared" si="59"/>
        <v>0</v>
      </c>
      <c r="Q95" s="33">
        <f t="shared" si="59"/>
        <v>0</v>
      </c>
      <c r="R95" s="33">
        <f t="shared" si="59"/>
        <v>0</v>
      </c>
      <c r="S95" s="33">
        <f t="shared" si="59"/>
        <v>0</v>
      </c>
      <c r="T95" s="33">
        <f t="shared" si="59"/>
        <v>0</v>
      </c>
      <c r="U95" s="53">
        <f t="shared" si="59"/>
        <v>0</v>
      </c>
      <c r="V95" s="33">
        <f t="shared" si="59"/>
        <v>0</v>
      </c>
      <c r="W95" s="33">
        <f t="shared" si="59"/>
        <v>0</v>
      </c>
      <c r="X95" s="33">
        <f t="shared" si="59"/>
        <v>0</v>
      </c>
      <c r="Y95" s="33">
        <f t="shared" si="59"/>
        <v>0</v>
      </c>
      <c r="Z95" s="33"/>
      <c r="AA95" s="33">
        <f t="shared" si="59"/>
        <v>0</v>
      </c>
      <c r="AB95" s="35">
        <f t="shared" si="17"/>
        <v>0</v>
      </c>
      <c r="AC95" s="57"/>
    </row>
    <row r="96" spans="1:29" ht="16.5" hidden="1" thickBot="1" x14ac:dyDescent="0.3">
      <c r="A96" s="61"/>
      <c r="B96" s="61"/>
      <c r="C96" s="61"/>
      <c r="D96" s="36" t="s">
        <v>77</v>
      </c>
      <c r="E96" s="37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54"/>
      <c r="V96" s="38"/>
      <c r="W96" s="38"/>
      <c r="X96" s="38"/>
      <c r="Y96" s="38"/>
      <c r="Z96" s="39"/>
      <c r="AA96" s="39"/>
      <c r="AB96" s="40">
        <f t="shared" si="17"/>
        <v>0</v>
      </c>
      <c r="AC96" s="58"/>
    </row>
    <row r="97" spans="1:29" hidden="1" x14ac:dyDescent="0.25">
      <c r="A97" s="59"/>
      <c r="B97" s="59">
        <v>22525812</v>
      </c>
      <c r="C97" s="59" t="s">
        <v>78</v>
      </c>
      <c r="D97" s="25" t="s">
        <v>75</v>
      </c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28"/>
      <c r="U97" s="29"/>
      <c r="V97" s="27"/>
      <c r="W97" s="28"/>
      <c r="X97" s="28"/>
      <c r="Y97" s="27"/>
      <c r="Z97" s="42"/>
      <c r="AA97" s="42"/>
      <c r="AB97" s="30">
        <f t="shared" ref="AB97:AB105" si="60">SUM(E97:AA97)</f>
        <v>0</v>
      </c>
      <c r="AC97" s="56">
        <f t="shared" ref="AC97" si="61">IFERROR((AB97-(AB97-AB99))/AB97,0)</f>
        <v>0</v>
      </c>
    </row>
    <row r="98" spans="1:29" hidden="1" x14ac:dyDescent="0.25">
      <c r="A98" s="60"/>
      <c r="B98" s="60"/>
      <c r="C98" s="60"/>
      <c r="D98" s="31" t="s">
        <v>76</v>
      </c>
      <c r="E98" s="32">
        <f t="shared" ref="E98:AA98" si="62">E97-E99</f>
        <v>0</v>
      </c>
      <c r="F98" s="33">
        <f t="shared" si="62"/>
        <v>0</v>
      </c>
      <c r="G98" s="33">
        <f t="shared" si="62"/>
        <v>0</v>
      </c>
      <c r="H98" s="33">
        <f t="shared" si="62"/>
        <v>0</v>
      </c>
      <c r="I98" s="33">
        <f t="shared" si="62"/>
        <v>0</v>
      </c>
      <c r="J98" s="33">
        <f t="shared" si="62"/>
        <v>0</v>
      </c>
      <c r="K98" s="33">
        <f t="shared" si="62"/>
        <v>0</v>
      </c>
      <c r="L98" s="33">
        <f t="shared" si="62"/>
        <v>0</v>
      </c>
      <c r="M98" s="33">
        <f t="shared" si="62"/>
        <v>0</v>
      </c>
      <c r="N98" s="33">
        <f t="shared" si="62"/>
        <v>0</v>
      </c>
      <c r="O98" s="33">
        <f t="shared" si="62"/>
        <v>0</v>
      </c>
      <c r="P98" s="33">
        <f t="shared" si="62"/>
        <v>0</v>
      </c>
      <c r="Q98" s="33">
        <f t="shared" si="62"/>
        <v>0</v>
      </c>
      <c r="R98" s="33">
        <f t="shared" si="62"/>
        <v>0</v>
      </c>
      <c r="S98" s="33">
        <f t="shared" si="62"/>
        <v>0</v>
      </c>
      <c r="T98" s="33">
        <f t="shared" si="62"/>
        <v>0</v>
      </c>
      <c r="U98" s="53">
        <f t="shared" si="62"/>
        <v>0</v>
      </c>
      <c r="V98" s="33">
        <f t="shared" si="62"/>
        <v>0</v>
      </c>
      <c r="W98" s="33">
        <f t="shared" si="62"/>
        <v>0</v>
      </c>
      <c r="X98" s="33">
        <f t="shared" si="62"/>
        <v>0</v>
      </c>
      <c r="Y98" s="33">
        <f t="shared" si="62"/>
        <v>0</v>
      </c>
      <c r="Z98" s="33"/>
      <c r="AA98" s="33">
        <f t="shared" si="62"/>
        <v>0</v>
      </c>
      <c r="AB98" s="35">
        <f t="shared" si="60"/>
        <v>0</v>
      </c>
      <c r="AC98" s="57"/>
    </row>
    <row r="99" spans="1:29" ht="16.5" hidden="1" thickBot="1" x14ac:dyDescent="0.3">
      <c r="A99" s="61"/>
      <c r="B99" s="61"/>
      <c r="C99" s="61"/>
      <c r="D99" s="36" t="s">
        <v>77</v>
      </c>
      <c r="E99" s="37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54"/>
      <c r="V99" s="38"/>
      <c r="W99" s="38"/>
      <c r="X99" s="38"/>
      <c r="Y99" s="38"/>
      <c r="Z99" s="39"/>
      <c r="AA99" s="39"/>
      <c r="AB99" s="40">
        <f t="shared" si="60"/>
        <v>0</v>
      </c>
      <c r="AC99" s="58"/>
    </row>
    <row r="100" spans="1:29" hidden="1" x14ac:dyDescent="0.25">
      <c r="A100" s="59"/>
      <c r="B100" s="59">
        <v>22525812</v>
      </c>
      <c r="C100" s="59" t="s">
        <v>78</v>
      </c>
      <c r="D100" s="25" t="s">
        <v>75</v>
      </c>
      <c r="E100" s="41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7"/>
      <c r="Q100" s="29"/>
      <c r="R100" s="27"/>
      <c r="S100" s="28"/>
      <c r="T100" s="28"/>
      <c r="U100" s="29"/>
      <c r="V100" s="27"/>
      <c r="W100" s="28"/>
      <c r="X100" s="28"/>
      <c r="Y100" s="27"/>
      <c r="Z100" s="42"/>
      <c r="AA100" s="42"/>
      <c r="AB100" s="30">
        <f t="shared" si="60"/>
        <v>0</v>
      </c>
      <c r="AC100" s="56">
        <f t="shared" ref="AC100" si="63">IFERROR((AB100-(AB100-AB102))/AB100,0)</f>
        <v>0</v>
      </c>
    </row>
    <row r="101" spans="1:29" hidden="1" x14ac:dyDescent="0.25">
      <c r="A101" s="60"/>
      <c r="B101" s="60"/>
      <c r="C101" s="60"/>
      <c r="D101" s="31" t="s">
        <v>76</v>
      </c>
      <c r="E101" s="32">
        <f t="shared" ref="E101:AA101" si="64">E100-E102</f>
        <v>0</v>
      </c>
      <c r="F101" s="33">
        <f t="shared" si="64"/>
        <v>0</v>
      </c>
      <c r="G101" s="33">
        <f t="shared" si="64"/>
        <v>0</v>
      </c>
      <c r="H101" s="33">
        <f t="shared" si="64"/>
        <v>0</v>
      </c>
      <c r="I101" s="33">
        <f t="shared" si="64"/>
        <v>0</v>
      </c>
      <c r="J101" s="33">
        <f t="shared" si="64"/>
        <v>0</v>
      </c>
      <c r="K101" s="33">
        <f t="shared" si="64"/>
        <v>0</v>
      </c>
      <c r="L101" s="33">
        <f t="shared" si="64"/>
        <v>0</v>
      </c>
      <c r="M101" s="33">
        <f t="shared" si="64"/>
        <v>0</v>
      </c>
      <c r="N101" s="33">
        <f t="shared" si="64"/>
        <v>0</v>
      </c>
      <c r="O101" s="33">
        <f t="shared" si="64"/>
        <v>0</v>
      </c>
      <c r="P101" s="33">
        <f t="shared" si="64"/>
        <v>0</v>
      </c>
      <c r="Q101" s="33">
        <f t="shared" si="64"/>
        <v>0</v>
      </c>
      <c r="R101" s="33">
        <f t="shared" si="64"/>
        <v>0</v>
      </c>
      <c r="S101" s="33">
        <f t="shared" si="64"/>
        <v>0</v>
      </c>
      <c r="T101" s="33">
        <f t="shared" si="64"/>
        <v>0</v>
      </c>
      <c r="U101" s="53">
        <f t="shared" si="64"/>
        <v>0</v>
      </c>
      <c r="V101" s="33">
        <f t="shared" si="64"/>
        <v>0</v>
      </c>
      <c r="W101" s="33">
        <f t="shared" si="64"/>
        <v>0</v>
      </c>
      <c r="X101" s="33">
        <f t="shared" si="64"/>
        <v>0</v>
      </c>
      <c r="Y101" s="33">
        <f t="shared" si="64"/>
        <v>0</v>
      </c>
      <c r="Z101" s="33"/>
      <c r="AA101" s="33">
        <f t="shared" si="64"/>
        <v>0</v>
      </c>
      <c r="AB101" s="35">
        <f t="shared" si="60"/>
        <v>0</v>
      </c>
      <c r="AC101" s="57"/>
    </row>
    <row r="102" spans="1:29" ht="16.5" hidden="1" thickBot="1" x14ac:dyDescent="0.3">
      <c r="A102" s="61"/>
      <c r="B102" s="61"/>
      <c r="C102" s="61"/>
      <c r="D102" s="36" t="s">
        <v>77</v>
      </c>
      <c r="E102" s="37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54"/>
      <c r="V102" s="38"/>
      <c r="W102" s="38"/>
      <c r="X102" s="38"/>
      <c r="Y102" s="38"/>
      <c r="Z102" s="39"/>
      <c r="AA102" s="39"/>
      <c r="AB102" s="40">
        <f t="shared" si="60"/>
        <v>0</v>
      </c>
      <c r="AC102" s="58"/>
    </row>
    <row r="103" spans="1:29" hidden="1" x14ac:dyDescent="0.25">
      <c r="A103" s="59"/>
      <c r="B103" s="59">
        <v>19209240</v>
      </c>
      <c r="C103" s="59" t="s">
        <v>78</v>
      </c>
      <c r="D103" s="25" t="s">
        <v>75</v>
      </c>
      <c r="E103" s="41"/>
      <c r="F103" s="28"/>
      <c r="G103" s="28"/>
      <c r="H103" s="28"/>
      <c r="I103" s="28"/>
      <c r="J103" s="28"/>
      <c r="K103" s="27"/>
      <c r="L103" s="28"/>
      <c r="M103" s="28"/>
      <c r="N103" s="28"/>
      <c r="O103" s="28"/>
      <c r="P103" s="27"/>
      <c r="Q103" s="28"/>
      <c r="R103" s="27"/>
      <c r="S103" s="28"/>
      <c r="T103" s="28"/>
      <c r="U103" s="29"/>
      <c r="V103" s="27"/>
      <c r="W103" s="28"/>
      <c r="X103" s="28"/>
      <c r="Y103" s="27"/>
      <c r="Z103" s="42"/>
      <c r="AA103" s="42"/>
      <c r="AB103" s="30">
        <f t="shared" si="60"/>
        <v>0</v>
      </c>
      <c r="AC103" s="56">
        <f t="shared" ref="AC103" si="65">IFERROR((AB103-(AB103-AB105))/AB103,0)</f>
        <v>0</v>
      </c>
    </row>
    <row r="104" spans="1:29" hidden="1" x14ac:dyDescent="0.25">
      <c r="A104" s="60"/>
      <c r="B104" s="60"/>
      <c r="C104" s="60"/>
      <c r="D104" s="31" t="s">
        <v>76</v>
      </c>
      <c r="E104" s="32">
        <f t="shared" ref="E104:AA104" si="66">E103-E105</f>
        <v>0</v>
      </c>
      <c r="F104" s="33">
        <f t="shared" si="66"/>
        <v>0</v>
      </c>
      <c r="G104" s="33">
        <f t="shared" si="66"/>
        <v>0</v>
      </c>
      <c r="H104" s="33">
        <f t="shared" si="66"/>
        <v>0</v>
      </c>
      <c r="I104" s="33">
        <f t="shared" si="66"/>
        <v>0</v>
      </c>
      <c r="J104" s="33">
        <f t="shared" si="66"/>
        <v>0</v>
      </c>
      <c r="K104" s="33">
        <f t="shared" si="66"/>
        <v>0</v>
      </c>
      <c r="L104" s="33">
        <f t="shared" si="66"/>
        <v>0</v>
      </c>
      <c r="M104" s="33">
        <f t="shared" si="66"/>
        <v>0</v>
      </c>
      <c r="N104" s="33">
        <f t="shared" si="66"/>
        <v>0</v>
      </c>
      <c r="O104" s="33">
        <f t="shared" si="66"/>
        <v>0</v>
      </c>
      <c r="P104" s="33">
        <f t="shared" si="66"/>
        <v>0</v>
      </c>
      <c r="Q104" s="33">
        <f t="shared" si="66"/>
        <v>0</v>
      </c>
      <c r="R104" s="33">
        <f t="shared" si="66"/>
        <v>0</v>
      </c>
      <c r="S104" s="33">
        <f t="shared" si="66"/>
        <v>0</v>
      </c>
      <c r="T104" s="33">
        <f t="shared" si="66"/>
        <v>0</v>
      </c>
      <c r="U104" s="53">
        <f t="shared" si="66"/>
        <v>0</v>
      </c>
      <c r="V104" s="33">
        <f t="shared" si="66"/>
        <v>0</v>
      </c>
      <c r="W104" s="33">
        <f t="shared" si="66"/>
        <v>0</v>
      </c>
      <c r="X104" s="33">
        <f t="shared" si="66"/>
        <v>0</v>
      </c>
      <c r="Y104" s="33">
        <f t="shared" si="66"/>
        <v>0</v>
      </c>
      <c r="Z104" s="33"/>
      <c r="AA104" s="33">
        <f t="shared" si="66"/>
        <v>0</v>
      </c>
      <c r="AB104" s="35">
        <f t="shared" si="60"/>
        <v>0</v>
      </c>
      <c r="AC104" s="57"/>
    </row>
    <row r="105" spans="1:29" ht="16.5" hidden="1" thickBot="1" x14ac:dyDescent="0.3">
      <c r="A105" s="61"/>
      <c r="B105" s="61"/>
      <c r="C105" s="61"/>
      <c r="D105" s="36" t="s">
        <v>77</v>
      </c>
      <c r="E105" s="37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54"/>
      <c r="V105" s="38"/>
      <c r="W105" s="38"/>
      <c r="X105" s="38"/>
      <c r="Y105" s="38"/>
      <c r="Z105" s="39"/>
      <c r="AA105" s="39"/>
      <c r="AB105" s="43">
        <f t="shared" si="60"/>
        <v>0</v>
      </c>
      <c r="AC105" s="58"/>
    </row>
    <row r="106" spans="1:29" ht="16.5" thickBot="1" x14ac:dyDescent="0.3">
      <c r="A106" s="44"/>
      <c r="B106" s="44"/>
      <c r="C106" s="44"/>
      <c r="D106" s="44" t="s">
        <v>80</v>
      </c>
      <c r="E106" s="45">
        <f t="shared" ref="E106:G106" si="67">E9+E15+E21+E24+E27+E30+E33+E36+E42+E45+E48+E51+E54+E57+E60+E66+E69+E72+E75+E78+E81+E84+E90+E93+E99+E102+E18+E63+E96+E87+E12+E105</f>
        <v>0</v>
      </c>
      <c r="F106" s="45">
        <f t="shared" si="67"/>
        <v>0</v>
      </c>
      <c r="G106" s="45">
        <f t="shared" si="67"/>
        <v>0</v>
      </c>
      <c r="H106" s="45">
        <f>H9+H15+H21+H24+H27+H30+H33+H36+H42+H45+H48+H51+H54+H57+H60+H66+H69+H72+H75+H78+H81+H84+H90+H93+H99+H102+H18+H63+H96+H87+H12+H105</f>
        <v>0</v>
      </c>
      <c r="I106" s="45">
        <f t="shared" ref="I106:O106" si="68">I9+I15+I21+I24+I27+I30+I33+I36+I42+I45+I48+I51+I54+I57+I60+I66+I69+I72+I75+I78+I81+I84+I90+I93+I99+I102+I18+I63+I96+I87+I12+I105</f>
        <v>0</v>
      </c>
      <c r="J106" s="45">
        <f t="shared" si="68"/>
        <v>0</v>
      </c>
      <c r="K106" s="45">
        <f t="shared" si="68"/>
        <v>0</v>
      </c>
      <c r="L106" s="45">
        <f t="shared" si="68"/>
        <v>0</v>
      </c>
      <c r="M106" s="45">
        <f t="shared" si="68"/>
        <v>0</v>
      </c>
      <c r="N106" s="45">
        <f t="shared" si="68"/>
        <v>0</v>
      </c>
      <c r="O106" s="45">
        <f t="shared" si="68"/>
        <v>1</v>
      </c>
      <c r="P106" s="45">
        <f>P9+P15+P21+P24+P27+P30+P33+P36+P42+P45+P48+P51+P54+P57+P60+P66+P69+P72+P75+P78+P81+P84+P90+P93+P99+P102+P18+P63+P96+P87+P12+P105+P39</f>
        <v>3</v>
      </c>
      <c r="Q106" s="45">
        <f t="shared" ref="Q106:AA106" si="69">Q9+Q15+Q21+Q24+Q27+Q30+Q33+Q36+Q42+Q45+Q48+Q51+Q54+Q57+Q60+Q66+Q69+Q72+Q75+Q78+Q81+Q84+Q90+Q93+Q99+Q102+Q18+Q63+Q96+Q87+Q12+Q105+Q39</f>
        <v>1</v>
      </c>
      <c r="R106" s="45">
        <f t="shared" si="69"/>
        <v>1</v>
      </c>
      <c r="S106" s="45">
        <f t="shared" si="69"/>
        <v>1</v>
      </c>
      <c r="T106" s="45">
        <f t="shared" si="69"/>
        <v>0</v>
      </c>
      <c r="U106" s="52">
        <f t="shared" si="69"/>
        <v>3</v>
      </c>
      <c r="V106" s="45">
        <f t="shared" si="69"/>
        <v>3</v>
      </c>
      <c r="W106" s="45">
        <f t="shared" si="69"/>
        <v>0</v>
      </c>
      <c r="X106" s="45">
        <f t="shared" si="69"/>
        <v>1</v>
      </c>
      <c r="Y106" s="45">
        <f t="shared" si="69"/>
        <v>0</v>
      </c>
      <c r="Z106" s="45"/>
      <c r="AA106" s="45">
        <f t="shared" si="69"/>
        <v>0</v>
      </c>
      <c r="AB106" s="46">
        <f>SUM(E106:AA106)</f>
        <v>14</v>
      </c>
    </row>
    <row r="107" spans="1:29" ht="16.5" thickBot="1" x14ac:dyDescent="0.3">
      <c r="E107" s="47"/>
      <c r="AA107" s="44" t="s">
        <v>81</v>
      </c>
      <c r="AB107" s="48">
        <f>AB7+AB13+AB19+AB22+AB25+AB28+AB31+AB34+AB40+AB43+AB46+AB49+AB52+AB55+AB58+AB64+AB67+AB70+AB73+AB76+AB79+AB82+AB88+AB91+AB100+AB103+AB16+AB61+AB10+AB97+AB85+AB94+AB37</f>
        <v>985</v>
      </c>
    </row>
    <row r="108" spans="1:29" x14ac:dyDescent="0.25">
      <c r="E108"/>
    </row>
    <row r="109" spans="1:29" x14ac:dyDescent="0.25">
      <c r="E109"/>
    </row>
    <row r="110" spans="1:29" x14ac:dyDescent="0.25">
      <c r="E110"/>
    </row>
  </sheetData>
  <mergeCells count="133">
    <mergeCell ref="A103:A105"/>
    <mergeCell ref="B103:B105"/>
    <mergeCell ref="C103:C105"/>
    <mergeCell ref="AC103:AC105"/>
    <mergeCell ref="A97:A99"/>
    <mergeCell ref="B97:B99"/>
    <mergeCell ref="C97:C99"/>
    <mergeCell ref="AC97:AC99"/>
    <mergeCell ref="A100:A102"/>
    <mergeCell ref="B100:B102"/>
    <mergeCell ref="C100:C102"/>
    <mergeCell ref="AC100:AC102"/>
    <mergeCell ref="A91:A93"/>
    <mergeCell ref="B91:B93"/>
    <mergeCell ref="C91:C93"/>
    <mergeCell ref="AC91:AC93"/>
    <mergeCell ref="A94:A96"/>
    <mergeCell ref="B94:B96"/>
    <mergeCell ref="C94:C96"/>
    <mergeCell ref="AC94:AC96"/>
    <mergeCell ref="A85:A87"/>
    <mergeCell ref="B85:B87"/>
    <mergeCell ref="C85:C87"/>
    <mergeCell ref="AC85:AC87"/>
    <mergeCell ref="A88:A90"/>
    <mergeCell ref="B88:B90"/>
    <mergeCell ref="C88:C90"/>
    <mergeCell ref="AC88:AC90"/>
    <mergeCell ref="A79:A81"/>
    <mergeCell ref="B79:B81"/>
    <mergeCell ref="C79:C81"/>
    <mergeCell ref="AC79:AC81"/>
    <mergeCell ref="A82:A84"/>
    <mergeCell ref="B82:B84"/>
    <mergeCell ref="C82:C84"/>
    <mergeCell ref="AC82:AC84"/>
    <mergeCell ref="A73:A75"/>
    <mergeCell ref="B73:B75"/>
    <mergeCell ref="C73:C75"/>
    <mergeCell ref="AC73:AC75"/>
    <mergeCell ref="A76:A78"/>
    <mergeCell ref="B76:B78"/>
    <mergeCell ref="C76:C78"/>
    <mergeCell ref="AC76:AC78"/>
    <mergeCell ref="A67:A69"/>
    <mergeCell ref="B67:B69"/>
    <mergeCell ref="C67:C69"/>
    <mergeCell ref="AC67:AC69"/>
    <mergeCell ref="A70:A72"/>
    <mergeCell ref="B70:B72"/>
    <mergeCell ref="C70:C72"/>
    <mergeCell ref="AC70:AC72"/>
    <mergeCell ref="A61:A63"/>
    <mergeCell ref="B61:B63"/>
    <mergeCell ref="C61:C63"/>
    <mergeCell ref="AC61:AC63"/>
    <mergeCell ref="A64:A66"/>
    <mergeCell ref="B64:B66"/>
    <mergeCell ref="C64:C66"/>
    <mergeCell ref="AC64:AC66"/>
    <mergeCell ref="A55:A57"/>
    <mergeCell ref="B55:B57"/>
    <mergeCell ref="C55:C57"/>
    <mergeCell ref="AC55:AC57"/>
    <mergeCell ref="A58:A60"/>
    <mergeCell ref="B58:B60"/>
    <mergeCell ref="C58:C60"/>
    <mergeCell ref="AC58:AC60"/>
    <mergeCell ref="A49:A51"/>
    <mergeCell ref="B49:B51"/>
    <mergeCell ref="C49:C51"/>
    <mergeCell ref="AC49:AC51"/>
    <mergeCell ref="A52:A54"/>
    <mergeCell ref="B52:B54"/>
    <mergeCell ref="C52:C54"/>
    <mergeCell ref="AC52:AC54"/>
    <mergeCell ref="A43:A45"/>
    <mergeCell ref="B43:B45"/>
    <mergeCell ref="C43:C45"/>
    <mergeCell ref="AC43:AC45"/>
    <mergeCell ref="A37:A39"/>
    <mergeCell ref="B37:B39"/>
    <mergeCell ref="C37:C39"/>
    <mergeCell ref="AC37:AC39"/>
    <mergeCell ref="A40:A42"/>
    <mergeCell ref="B40:B42"/>
    <mergeCell ref="C40:C42"/>
    <mergeCell ref="AC40:AC42"/>
    <mergeCell ref="A34:A36"/>
    <mergeCell ref="B34:B36"/>
    <mergeCell ref="C34:C36"/>
    <mergeCell ref="AC34:AC36"/>
    <mergeCell ref="A25:A27"/>
    <mergeCell ref="B25:B27"/>
    <mergeCell ref="C25:C27"/>
    <mergeCell ref="AC25:AC27"/>
    <mergeCell ref="A28:A30"/>
    <mergeCell ref="B28:B30"/>
    <mergeCell ref="C28:C30"/>
    <mergeCell ref="AC28:AC30"/>
    <mergeCell ref="AC13:AC15"/>
    <mergeCell ref="A16:A18"/>
    <mergeCell ref="B16:B18"/>
    <mergeCell ref="C16:C18"/>
    <mergeCell ref="AC16:AC18"/>
    <mergeCell ref="A31:A33"/>
    <mergeCell ref="B31:B33"/>
    <mergeCell ref="C31:C33"/>
    <mergeCell ref="AC31:AC33"/>
    <mergeCell ref="AC46:AC48"/>
    <mergeCell ref="C46:C48"/>
    <mergeCell ref="B46:B48"/>
    <mergeCell ref="A46:A48"/>
    <mergeCell ref="A2:AC2"/>
    <mergeCell ref="A7:A9"/>
    <mergeCell ref="B7:B9"/>
    <mergeCell ref="C7:C9"/>
    <mergeCell ref="AC7:AC9"/>
    <mergeCell ref="A10:A12"/>
    <mergeCell ref="B10:B12"/>
    <mergeCell ref="C10:C12"/>
    <mergeCell ref="AC10:AC12"/>
    <mergeCell ref="A19:A21"/>
    <mergeCell ref="B19:B21"/>
    <mergeCell ref="C19:C21"/>
    <mergeCell ref="AC19:AC21"/>
    <mergeCell ref="A22:A24"/>
    <mergeCell ref="B22:B24"/>
    <mergeCell ref="C22:C24"/>
    <mergeCell ref="AC22:AC24"/>
    <mergeCell ref="A13:A15"/>
    <mergeCell ref="B13:B15"/>
    <mergeCell ref="C13:C1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C110"/>
  <sheetViews>
    <sheetView topLeftCell="A5" zoomScale="80" zoomScaleNormal="80" workbookViewId="0">
      <selection activeCell="X14" sqref="X14"/>
    </sheetView>
  </sheetViews>
  <sheetFormatPr baseColWidth="10" defaultRowHeight="15.75" x14ac:dyDescent="0.25"/>
  <cols>
    <col min="1" max="1" width="24.5703125" bestFit="1" customWidth="1"/>
    <col min="2" max="2" width="10.140625" hidden="1" customWidth="1"/>
    <col min="3" max="3" width="18.140625" hidden="1" customWidth="1"/>
    <col min="4" max="4" width="22.42578125" bestFit="1" customWidth="1"/>
    <col min="5" max="24" width="4.7109375" style="16" customWidth="1"/>
    <col min="25" max="27" width="4.7109375" style="16" hidden="1" customWidth="1"/>
    <col min="28" max="28" width="10.7109375" style="17" customWidth="1"/>
    <col min="29" max="29" width="10.7109375" customWidth="1"/>
    <col min="30" max="30" width="26" customWidth="1"/>
  </cols>
  <sheetData>
    <row r="2" spans="1:29" ht="36" x14ac:dyDescent="0.25">
      <c r="A2" s="65" t="s">
        <v>41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</row>
    <row r="4" spans="1:29" ht="16.5" thickBot="1" x14ac:dyDescent="0.3">
      <c r="E4" s="16" t="s">
        <v>42</v>
      </c>
      <c r="F4" s="16" t="s">
        <v>43</v>
      </c>
      <c r="G4" s="16" t="s">
        <v>44</v>
      </c>
      <c r="H4" s="16" t="s">
        <v>45</v>
      </c>
      <c r="I4" s="16" t="s">
        <v>46</v>
      </c>
      <c r="J4" s="16" t="s">
        <v>47</v>
      </c>
      <c r="K4" s="16" t="s">
        <v>48</v>
      </c>
      <c r="L4" s="16" t="s">
        <v>49</v>
      </c>
      <c r="M4" s="16" t="s">
        <v>50</v>
      </c>
      <c r="N4" s="16" t="s">
        <v>51</v>
      </c>
      <c r="O4" s="16" t="s">
        <v>52</v>
      </c>
      <c r="P4" s="16" t="s">
        <v>53</v>
      </c>
      <c r="Q4" s="16" t="s">
        <v>54</v>
      </c>
      <c r="R4" s="16" t="s">
        <v>55</v>
      </c>
      <c r="S4" s="16" t="s">
        <v>56</v>
      </c>
      <c r="T4" s="16" t="s">
        <v>57</v>
      </c>
      <c r="U4" s="16" t="s">
        <v>58</v>
      </c>
      <c r="V4" s="16" t="s">
        <v>59</v>
      </c>
      <c r="W4" s="16" t="s">
        <v>60</v>
      </c>
      <c r="X4" s="16" t="s">
        <v>61</v>
      </c>
      <c r="Y4" s="16" t="s">
        <v>62</v>
      </c>
      <c r="Z4" s="16" t="s">
        <v>63</v>
      </c>
      <c r="AA4" s="16" t="s">
        <v>85</v>
      </c>
    </row>
    <row r="5" spans="1:29" ht="19.5" thickBot="1" x14ac:dyDescent="0.35">
      <c r="A5" s="18" t="s">
        <v>86</v>
      </c>
      <c r="B5" s="18"/>
      <c r="C5" s="18"/>
      <c r="D5" s="18"/>
      <c r="E5" s="19" t="s">
        <v>64</v>
      </c>
      <c r="F5" s="19" t="s">
        <v>65</v>
      </c>
      <c r="G5" s="19" t="s">
        <v>65</v>
      </c>
      <c r="H5" s="19" t="s">
        <v>66</v>
      </c>
      <c r="I5" s="19" t="s">
        <v>67</v>
      </c>
      <c r="J5" s="19" t="s">
        <v>64</v>
      </c>
      <c r="K5" s="19" t="s">
        <v>65</v>
      </c>
      <c r="L5" s="19" t="s">
        <v>65</v>
      </c>
      <c r="M5" s="19" t="s">
        <v>66</v>
      </c>
      <c r="N5" s="19" t="s">
        <v>67</v>
      </c>
      <c r="O5" s="19" t="s">
        <v>64</v>
      </c>
      <c r="P5" s="19" t="s">
        <v>65</v>
      </c>
      <c r="Q5" s="19" t="s">
        <v>65</v>
      </c>
      <c r="R5" s="19" t="s">
        <v>66</v>
      </c>
      <c r="S5" s="19" t="s">
        <v>67</v>
      </c>
      <c r="T5" s="19" t="s">
        <v>64</v>
      </c>
      <c r="U5" s="19" t="s">
        <v>65</v>
      </c>
      <c r="V5" s="19" t="s">
        <v>65</v>
      </c>
      <c r="W5" s="19" t="s">
        <v>66</v>
      </c>
      <c r="X5" s="19" t="s">
        <v>67</v>
      </c>
      <c r="Y5" s="19" t="s">
        <v>65</v>
      </c>
      <c r="Z5" s="49" t="s">
        <v>66</v>
      </c>
      <c r="AA5" s="20" t="s">
        <v>67</v>
      </c>
    </row>
    <row r="6" spans="1:29" ht="16.5" thickBot="1" x14ac:dyDescent="0.3">
      <c r="A6" s="21" t="s">
        <v>68</v>
      </c>
      <c r="B6" s="21" t="s">
        <v>69</v>
      </c>
      <c r="C6" s="21" t="s">
        <v>70</v>
      </c>
      <c r="D6" s="21" t="s">
        <v>71</v>
      </c>
      <c r="E6" s="22">
        <v>3</v>
      </c>
      <c r="F6" s="23">
        <v>4</v>
      </c>
      <c r="G6" s="23">
        <v>5</v>
      </c>
      <c r="H6" s="23">
        <v>6</v>
      </c>
      <c r="I6" s="23">
        <v>7</v>
      </c>
      <c r="J6" s="23">
        <v>10</v>
      </c>
      <c r="K6" s="23">
        <v>11</v>
      </c>
      <c r="L6" s="23">
        <v>12</v>
      </c>
      <c r="M6" s="23">
        <v>13</v>
      </c>
      <c r="N6" s="23">
        <v>14</v>
      </c>
      <c r="O6" s="23">
        <v>17</v>
      </c>
      <c r="P6" s="23">
        <v>18</v>
      </c>
      <c r="Q6" s="23">
        <v>19</v>
      </c>
      <c r="R6" s="23">
        <v>20</v>
      </c>
      <c r="S6" s="23">
        <v>21</v>
      </c>
      <c r="T6" s="23">
        <v>24</v>
      </c>
      <c r="U6" s="23">
        <v>25</v>
      </c>
      <c r="V6" s="23">
        <v>26</v>
      </c>
      <c r="W6" s="23">
        <v>27</v>
      </c>
      <c r="X6" s="23">
        <v>28</v>
      </c>
      <c r="Y6" s="23"/>
      <c r="Z6" s="24"/>
      <c r="AA6" s="24"/>
      <c r="AB6" s="21" t="s">
        <v>72</v>
      </c>
      <c r="AC6" s="21" t="s">
        <v>73</v>
      </c>
    </row>
    <row r="7" spans="1:29" ht="15.75" customHeight="1" x14ac:dyDescent="0.25">
      <c r="A7" s="67" t="s">
        <v>17</v>
      </c>
      <c r="B7" s="59">
        <v>19398507</v>
      </c>
      <c r="C7" s="59" t="s">
        <v>74</v>
      </c>
      <c r="D7" s="25" t="s">
        <v>75</v>
      </c>
      <c r="E7" s="26">
        <v>0</v>
      </c>
      <c r="F7" s="27">
        <v>0</v>
      </c>
      <c r="G7" s="28">
        <v>0</v>
      </c>
      <c r="H7" s="28">
        <v>0</v>
      </c>
      <c r="I7" s="28">
        <v>0</v>
      </c>
      <c r="J7" s="28">
        <v>0</v>
      </c>
      <c r="K7" s="29">
        <v>0</v>
      </c>
      <c r="L7" s="28">
        <v>0</v>
      </c>
      <c r="M7" s="28">
        <v>0</v>
      </c>
      <c r="N7" s="28">
        <v>0</v>
      </c>
      <c r="O7" s="28">
        <v>0</v>
      </c>
      <c r="P7" s="27">
        <v>0</v>
      </c>
      <c r="Q7" s="28">
        <v>0</v>
      </c>
      <c r="R7" s="27">
        <v>0</v>
      </c>
      <c r="S7" s="27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/>
      <c r="Z7" s="28"/>
      <c r="AA7" s="28"/>
      <c r="AB7" s="30">
        <f t="shared" ref="AB7:AB70" si="0">SUM(E7:AA7)</f>
        <v>0</v>
      </c>
      <c r="AC7" s="56">
        <f>IFERROR((AB7-(AB7-AB9))/AB7,0)</f>
        <v>0</v>
      </c>
    </row>
    <row r="8" spans="1:29" x14ac:dyDescent="0.25">
      <c r="A8" s="68"/>
      <c r="B8" s="60"/>
      <c r="C8" s="60"/>
      <c r="D8" s="31" t="s">
        <v>83</v>
      </c>
      <c r="E8" s="32">
        <f t="shared" ref="E8:AA8" si="1">E7-E9</f>
        <v>0</v>
      </c>
      <c r="F8" s="33">
        <f t="shared" si="1"/>
        <v>0</v>
      </c>
      <c r="G8" s="33">
        <f t="shared" si="1"/>
        <v>0</v>
      </c>
      <c r="H8" s="33">
        <f t="shared" si="1"/>
        <v>0</v>
      </c>
      <c r="I8" s="33">
        <f t="shared" si="1"/>
        <v>0</v>
      </c>
      <c r="J8" s="33">
        <f t="shared" si="1"/>
        <v>0</v>
      </c>
      <c r="K8" s="33">
        <f t="shared" si="1"/>
        <v>0</v>
      </c>
      <c r="L8" s="33">
        <f t="shared" si="1"/>
        <v>0</v>
      </c>
      <c r="M8" s="33">
        <f t="shared" si="1"/>
        <v>0</v>
      </c>
      <c r="N8" s="33">
        <f t="shared" si="1"/>
        <v>0</v>
      </c>
      <c r="O8" s="33">
        <f t="shared" si="1"/>
        <v>0</v>
      </c>
      <c r="P8" s="33">
        <f t="shared" si="1"/>
        <v>0</v>
      </c>
      <c r="Q8" s="33">
        <f t="shared" si="1"/>
        <v>0</v>
      </c>
      <c r="R8" s="33">
        <f t="shared" si="1"/>
        <v>0</v>
      </c>
      <c r="S8" s="33">
        <f t="shared" si="1"/>
        <v>0</v>
      </c>
      <c r="T8" s="33">
        <v>0</v>
      </c>
      <c r="U8" s="33">
        <f t="shared" si="1"/>
        <v>0</v>
      </c>
      <c r="V8" s="33">
        <f t="shared" si="1"/>
        <v>0</v>
      </c>
      <c r="W8" s="33">
        <f t="shared" si="1"/>
        <v>0</v>
      </c>
      <c r="X8" s="33">
        <f t="shared" si="1"/>
        <v>0</v>
      </c>
      <c r="Y8" s="33">
        <f t="shared" si="1"/>
        <v>0</v>
      </c>
      <c r="Z8" s="50"/>
      <c r="AA8" s="34">
        <f t="shared" si="1"/>
        <v>0</v>
      </c>
      <c r="AB8" s="35">
        <f t="shared" si="0"/>
        <v>0</v>
      </c>
      <c r="AC8" s="57"/>
    </row>
    <row r="9" spans="1:29" ht="16.5" thickBot="1" x14ac:dyDescent="0.3">
      <c r="A9" s="69"/>
      <c r="B9" s="61"/>
      <c r="C9" s="61"/>
      <c r="D9" s="36" t="s">
        <v>77</v>
      </c>
      <c r="E9" s="37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8"/>
      <c r="Z9" s="39"/>
      <c r="AA9" s="39"/>
      <c r="AB9" s="40">
        <f t="shared" si="0"/>
        <v>0</v>
      </c>
      <c r="AC9" s="58"/>
    </row>
    <row r="10" spans="1:29" x14ac:dyDescent="0.25">
      <c r="A10" s="67" t="s">
        <v>18</v>
      </c>
      <c r="B10" s="59">
        <v>19398507</v>
      </c>
      <c r="C10" s="59" t="s">
        <v>74</v>
      </c>
      <c r="D10" s="25" t="s">
        <v>75</v>
      </c>
      <c r="E10" s="41">
        <v>0</v>
      </c>
      <c r="F10" s="28">
        <v>1</v>
      </c>
      <c r="G10" s="41">
        <v>0</v>
      </c>
      <c r="H10" s="28">
        <v>0</v>
      </c>
      <c r="I10" s="27">
        <v>0</v>
      </c>
      <c r="J10" s="28">
        <v>10</v>
      </c>
      <c r="K10" s="27">
        <v>0</v>
      </c>
      <c r="L10" s="28">
        <v>0</v>
      </c>
      <c r="M10" s="28">
        <v>12</v>
      </c>
      <c r="N10" s="28">
        <v>10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28">
        <v>0</v>
      </c>
      <c r="U10" s="28">
        <v>0</v>
      </c>
      <c r="V10" s="27">
        <v>0</v>
      </c>
      <c r="W10" s="28">
        <v>0</v>
      </c>
      <c r="X10" s="28"/>
      <c r="Y10" s="27"/>
      <c r="Z10" s="42"/>
      <c r="AA10" s="42"/>
      <c r="AB10" s="30">
        <f t="shared" si="0"/>
        <v>33</v>
      </c>
      <c r="AC10" s="56">
        <f>IFERROR((AB10-(AB10-AB12))/AB10,0)</f>
        <v>0</v>
      </c>
    </row>
    <row r="11" spans="1:29" x14ac:dyDescent="0.25">
      <c r="A11" s="68"/>
      <c r="B11" s="60"/>
      <c r="C11" s="60"/>
      <c r="D11" s="31" t="s">
        <v>83</v>
      </c>
      <c r="E11" s="32">
        <f t="shared" ref="E11:AA11" si="2">E10-E12</f>
        <v>0</v>
      </c>
      <c r="F11" s="33">
        <f t="shared" si="2"/>
        <v>1</v>
      </c>
      <c r="G11" s="33">
        <f t="shared" si="2"/>
        <v>0</v>
      </c>
      <c r="H11" s="33">
        <f t="shared" si="2"/>
        <v>0</v>
      </c>
      <c r="I11" s="33">
        <f t="shared" si="2"/>
        <v>0</v>
      </c>
      <c r="J11" s="33">
        <f t="shared" si="2"/>
        <v>10</v>
      </c>
      <c r="K11" s="33">
        <f t="shared" si="2"/>
        <v>0</v>
      </c>
      <c r="L11" s="33">
        <f t="shared" si="2"/>
        <v>0</v>
      </c>
      <c r="M11" s="33">
        <f t="shared" si="2"/>
        <v>12</v>
      </c>
      <c r="N11" s="33">
        <f t="shared" si="2"/>
        <v>10</v>
      </c>
      <c r="O11" s="33">
        <f t="shared" si="2"/>
        <v>0</v>
      </c>
      <c r="P11" s="33">
        <f t="shared" si="2"/>
        <v>0</v>
      </c>
      <c r="Q11" s="33">
        <f t="shared" si="2"/>
        <v>0</v>
      </c>
      <c r="R11" s="33">
        <f t="shared" si="2"/>
        <v>0</v>
      </c>
      <c r="S11" s="33">
        <f t="shared" si="2"/>
        <v>0</v>
      </c>
      <c r="T11" s="33">
        <f t="shared" si="2"/>
        <v>0</v>
      </c>
      <c r="U11" s="33">
        <f t="shared" si="2"/>
        <v>0</v>
      </c>
      <c r="V11" s="33">
        <f t="shared" si="2"/>
        <v>0</v>
      </c>
      <c r="W11" s="33">
        <f t="shared" si="2"/>
        <v>0</v>
      </c>
      <c r="X11" s="33">
        <f t="shared" si="2"/>
        <v>0</v>
      </c>
      <c r="Y11" s="33">
        <f t="shared" si="2"/>
        <v>0</v>
      </c>
      <c r="Z11" s="33"/>
      <c r="AA11" s="33">
        <f t="shared" si="2"/>
        <v>0</v>
      </c>
      <c r="AB11" s="35">
        <f t="shared" si="0"/>
        <v>33</v>
      </c>
      <c r="AC11" s="57"/>
    </row>
    <row r="12" spans="1:29" ht="16.5" thickBot="1" x14ac:dyDescent="0.3">
      <c r="A12" s="69"/>
      <c r="B12" s="61"/>
      <c r="C12" s="61"/>
      <c r="D12" s="36" t="s">
        <v>77</v>
      </c>
      <c r="E12" s="37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  <c r="R12" s="38">
        <v>0</v>
      </c>
      <c r="S12" s="38">
        <v>0</v>
      </c>
      <c r="T12" s="38">
        <v>0</v>
      </c>
      <c r="U12" s="38">
        <v>0</v>
      </c>
      <c r="V12" s="38">
        <v>0</v>
      </c>
      <c r="W12" s="38">
        <v>0</v>
      </c>
      <c r="X12" s="38"/>
      <c r="Y12" s="38"/>
      <c r="Z12" s="39"/>
      <c r="AA12" s="39"/>
      <c r="AB12" s="40">
        <f t="shared" si="0"/>
        <v>0</v>
      </c>
      <c r="AC12" s="58"/>
    </row>
    <row r="13" spans="1:29" x14ac:dyDescent="0.25">
      <c r="A13" s="67" t="s">
        <v>19</v>
      </c>
      <c r="B13" s="59">
        <v>18815459</v>
      </c>
      <c r="C13" s="59" t="s">
        <v>74</v>
      </c>
      <c r="D13" s="25" t="s">
        <v>75</v>
      </c>
      <c r="E13" s="41">
        <v>3</v>
      </c>
      <c r="F13" s="41">
        <v>0</v>
      </c>
      <c r="G13" s="41">
        <v>0</v>
      </c>
      <c r="H13" s="41">
        <v>0</v>
      </c>
      <c r="I13" s="41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2</v>
      </c>
      <c r="P13" s="28">
        <v>0</v>
      </c>
      <c r="Q13" s="28">
        <v>0</v>
      </c>
      <c r="R13" s="28">
        <v>0</v>
      </c>
      <c r="S13" s="28">
        <v>6</v>
      </c>
      <c r="T13" s="28">
        <v>4</v>
      </c>
      <c r="U13" s="28">
        <v>6</v>
      </c>
      <c r="V13" s="27">
        <v>0</v>
      </c>
      <c r="W13" s="28">
        <v>5</v>
      </c>
      <c r="X13" s="28">
        <v>2</v>
      </c>
      <c r="Y13" s="27"/>
      <c r="Z13" s="42"/>
      <c r="AA13" s="42"/>
      <c r="AB13" s="30">
        <f t="shared" si="0"/>
        <v>28</v>
      </c>
      <c r="AC13" s="56">
        <f t="shared" ref="AC13" si="3">IFERROR((AB13-(AB13-AB15))/AB13,0)</f>
        <v>0.14285714285714285</v>
      </c>
    </row>
    <row r="14" spans="1:29" x14ac:dyDescent="0.25">
      <c r="A14" s="68"/>
      <c r="B14" s="60"/>
      <c r="C14" s="60"/>
      <c r="D14" s="31" t="s">
        <v>83</v>
      </c>
      <c r="E14" s="32">
        <f t="shared" ref="E14:AA14" si="4">E13-E15</f>
        <v>0</v>
      </c>
      <c r="F14" s="33">
        <f t="shared" si="4"/>
        <v>0</v>
      </c>
      <c r="G14" s="33">
        <f t="shared" si="4"/>
        <v>0</v>
      </c>
      <c r="H14" s="33">
        <f t="shared" si="4"/>
        <v>0</v>
      </c>
      <c r="I14" s="33">
        <f t="shared" si="4"/>
        <v>0</v>
      </c>
      <c r="J14" s="33">
        <f t="shared" si="4"/>
        <v>0</v>
      </c>
      <c r="K14" s="33">
        <f t="shared" si="4"/>
        <v>0</v>
      </c>
      <c r="L14" s="33">
        <f t="shared" si="4"/>
        <v>0</v>
      </c>
      <c r="M14" s="33">
        <f t="shared" si="4"/>
        <v>0</v>
      </c>
      <c r="N14" s="33">
        <f t="shared" si="4"/>
        <v>0</v>
      </c>
      <c r="O14" s="33">
        <f t="shared" si="4"/>
        <v>2</v>
      </c>
      <c r="P14" s="33">
        <f t="shared" si="4"/>
        <v>0</v>
      </c>
      <c r="Q14" s="33">
        <f t="shared" si="4"/>
        <v>0</v>
      </c>
      <c r="R14" s="33">
        <f t="shared" si="4"/>
        <v>0</v>
      </c>
      <c r="S14" s="33">
        <f t="shared" si="4"/>
        <v>6</v>
      </c>
      <c r="T14" s="33">
        <f t="shared" si="4"/>
        <v>3</v>
      </c>
      <c r="U14" s="33">
        <f t="shared" si="4"/>
        <v>6</v>
      </c>
      <c r="V14" s="33">
        <f t="shared" si="4"/>
        <v>0</v>
      </c>
      <c r="W14" s="33">
        <f t="shared" si="4"/>
        <v>5</v>
      </c>
      <c r="X14" s="33">
        <f t="shared" si="4"/>
        <v>2</v>
      </c>
      <c r="Y14" s="33">
        <f t="shared" si="4"/>
        <v>0</v>
      </c>
      <c r="Z14" s="33"/>
      <c r="AA14" s="33">
        <f t="shared" si="4"/>
        <v>0</v>
      </c>
      <c r="AB14" s="35">
        <f t="shared" si="0"/>
        <v>24</v>
      </c>
      <c r="AC14" s="57"/>
    </row>
    <row r="15" spans="1:29" ht="16.5" thickBot="1" x14ac:dyDescent="0.3">
      <c r="A15" s="69"/>
      <c r="B15" s="61"/>
      <c r="C15" s="61"/>
      <c r="D15" s="36" t="s">
        <v>77</v>
      </c>
      <c r="E15" s="37">
        <v>3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T15" s="38">
        <v>1</v>
      </c>
      <c r="U15" s="38">
        <v>0</v>
      </c>
      <c r="V15" s="38">
        <v>0</v>
      </c>
      <c r="W15" s="38">
        <v>0</v>
      </c>
      <c r="X15" s="38"/>
      <c r="Y15" s="38"/>
      <c r="Z15" s="39"/>
      <c r="AA15" s="39"/>
      <c r="AB15" s="40">
        <f t="shared" si="0"/>
        <v>4</v>
      </c>
      <c r="AC15" s="58"/>
    </row>
    <row r="16" spans="1:29" ht="15.75" customHeight="1" x14ac:dyDescent="0.25">
      <c r="A16" s="67" t="s">
        <v>20</v>
      </c>
      <c r="B16" s="59">
        <v>19351357</v>
      </c>
      <c r="C16" s="59"/>
      <c r="D16" s="25" t="s">
        <v>75</v>
      </c>
      <c r="E16" s="26">
        <v>0</v>
      </c>
      <c r="F16" s="27">
        <v>0</v>
      </c>
      <c r="G16" s="28">
        <v>0</v>
      </c>
      <c r="H16" s="28">
        <v>0</v>
      </c>
      <c r="I16" s="28">
        <v>0</v>
      </c>
      <c r="J16" s="28">
        <v>0</v>
      </c>
      <c r="K16" s="29">
        <v>0</v>
      </c>
      <c r="L16" s="28">
        <v>0</v>
      </c>
      <c r="M16" s="28">
        <v>0</v>
      </c>
      <c r="N16" s="28">
        <v>0</v>
      </c>
      <c r="O16" s="28">
        <v>0</v>
      </c>
      <c r="P16" s="27">
        <v>0</v>
      </c>
      <c r="Q16" s="28">
        <v>0</v>
      </c>
      <c r="R16" s="27">
        <v>0</v>
      </c>
      <c r="S16" s="27">
        <v>0</v>
      </c>
      <c r="T16" s="28">
        <v>0</v>
      </c>
      <c r="U16" s="28">
        <v>0</v>
      </c>
      <c r="V16" s="28">
        <v>1</v>
      </c>
      <c r="W16" s="28">
        <v>0</v>
      </c>
      <c r="X16" s="28">
        <v>0</v>
      </c>
      <c r="Y16" s="27"/>
      <c r="Z16" s="42"/>
      <c r="AA16" s="42"/>
      <c r="AB16" s="30">
        <f t="shared" si="0"/>
        <v>1</v>
      </c>
      <c r="AC16" s="56">
        <f t="shared" ref="AC16" si="5">IFERROR((AB16-(AB16-AB18))/AB16,0)</f>
        <v>1</v>
      </c>
    </row>
    <row r="17" spans="1:29" x14ac:dyDescent="0.25">
      <c r="A17" s="68"/>
      <c r="B17" s="60"/>
      <c r="C17" s="60"/>
      <c r="D17" s="31" t="s">
        <v>83</v>
      </c>
      <c r="E17" s="32">
        <f t="shared" ref="E17:AA17" si="6">E16-E18</f>
        <v>0</v>
      </c>
      <c r="F17" s="33">
        <f t="shared" si="6"/>
        <v>0</v>
      </c>
      <c r="G17" s="33">
        <f t="shared" si="6"/>
        <v>0</v>
      </c>
      <c r="H17" s="33">
        <f t="shared" si="6"/>
        <v>0</v>
      </c>
      <c r="I17" s="33">
        <f t="shared" si="6"/>
        <v>0</v>
      </c>
      <c r="J17" s="33">
        <f t="shared" si="6"/>
        <v>0</v>
      </c>
      <c r="K17" s="33">
        <f t="shared" si="6"/>
        <v>0</v>
      </c>
      <c r="L17" s="33">
        <f t="shared" si="6"/>
        <v>0</v>
      </c>
      <c r="M17" s="33">
        <f t="shared" si="6"/>
        <v>0</v>
      </c>
      <c r="N17" s="33">
        <f t="shared" si="6"/>
        <v>0</v>
      </c>
      <c r="O17" s="33">
        <f t="shared" si="6"/>
        <v>0</v>
      </c>
      <c r="P17" s="33">
        <f t="shared" si="6"/>
        <v>0</v>
      </c>
      <c r="Q17" s="33">
        <f t="shared" si="6"/>
        <v>0</v>
      </c>
      <c r="R17" s="33">
        <f t="shared" si="6"/>
        <v>0</v>
      </c>
      <c r="S17" s="33">
        <f t="shared" si="6"/>
        <v>0</v>
      </c>
      <c r="T17" s="33">
        <f t="shared" si="6"/>
        <v>0</v>
      </c>
      <c r="U17" s="33">
        <f t="shared" si="6"/>
        <v>0</v>
      </c>
      <c r="V17" s="33">
        <f t="shared" si="6"/>
        <v>0</v>
      </c>
      <c r="W17" s="33">
        <f t="shared" si="6"/>
        <v>0</v>
      </c>
      <c r="X17" s="33">
        <f t="shared" si="6"/>
        <v>0</v>
      </c>
      <c r="Y17" s="33">
        <f t="shared" si="6"/>
        <v>0</v>
      </c>
      <c r="Z17" s="33"/>
      <c r="AA17" s="33">
        <f t="shared" si="6"/>
        <v>0</v>
      </c>
      <c r="AB17" s="35">
        <f t="shared" si="0"/>
        <v>0</v>
      </c>
      <c r="AC17" s="57"/>
    </row>
    <row r="18" spans="1:29" ht="16.5" thickBot="1" x14ac:dyDescent="0.3">
      <c r="A18" s="69"/>
      <c r="B18" s="61"/>
      <c r="C18" s="61"/>
      <c r="D18" s="36" t="s">
        <v>77</v>
      </c>
      <c r="E18" s="37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1</v>
      </c>
      <c r="W18" s="38">
        <v>0</v>
      </c>
      <c r="X18" s="38"/>
      <c r="Y18" s="38"/>
      <c r="Z18" s="39"/>
      <c r="AA18" s="39"/>
      <c r="AB18" s="40">
        <f t="shared" si="0"/>
        <v>1</v>
      </c>
      <c r="AC18" s="58"/>
    </row>
    <row r="19" spans="1:29" ht="15.75" customHeight="1" x14ac:dyDescent="0.25">
      <c r="A19" s="67" t="s">
        <v>21</v>
      </c>
      <c r="B19" s="59">
        <v>13055131</v>
      </c>
      <c r="C19" s="59" t="s">
        <v>78</v>
      </c>
      <c r="D19" s="25" t="s">
        <v>75</v>
      </c>
      <c r="E19" s="41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7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7">
        <v>0</v>
      </c>
      <c r="W19" s="28">
        <v>0</v>
      </c>
      <c r="X19" s="28"/>
      <c r="Y19" s="27"/>
      <c r="Z19" s="42"/>
      <c r="AA19" s="42"/>
      <c r="AB19" s="30">
        <f t="shared" si="0"/>
        <v>0</v>
      </c>
      <c r="AC19" s="56">
        <f t="shared" ref="AC19" si="7">IFERROR((AB19-(AB19-AB21))/AB19,0)</f>
        <v>0</v>
      </c>
    </row>
    <row r="20" spans="1:29" x14ac:dyDescent="0.25">
      <c r="A20" s="68"/>
      <c r="B20" s="60"/>
      <c r="C20" s="60"/>
      <c r="D20" s="31" t="s">
        <v>83</v>
      </c>
      <c r="E20" s="32">
        <f t="shared" ref="E20:AA20" si="8">E19-E21</f>
        <v>0</v>
      </c>
      <c r="F20" s="33">
        <f t="shared" si="8"/>
        <v>0</v>
      </c>
      <c r="G20" s="33">
        <f t="shared" si="8"/>
        <v>0</v>
      </c>
      <c r="H20" s="33">
        <f t="shared" si="8"/>
        <v>0</v>
      </c>
      <c r="I20" s="33">
        <f t="shared" si="8"/>
        <v>0</v>
      </c>
      <c r="J20" s="33">
        <f t="shared" si="8"/>
        <v>0</v>
      </c>
      <c r="K20" s="33">
        <f t="shared" si="8"/>
        <v>0</v>
      </c>
      <c r="L20" s="33">
        <f t="shared" si="8"/>
        <v>0</v>
      </c>
      <c r="M20" s="33">
        <f t="shared" si="8"/>
        <v>0</v>
      </c>
      <c r="N20" s="33">
        <f t="shared" si="8"/>
        <v>0</v>
      </c>
      <c r="O20" s="33">
        <f t="shared" si="8"/>
        <v>0</v>
      </c>
      <c r="P20" s="33">
        <f t="shared" si="8"/>
        <v>0</v>
      </c>
      <c r="Q20" s="33">
        <f t="shared" si="8"/>
        <v>0</v>
      </c>
      <c r="R20" s="33">
        <f t="shared" si="8"/>
        <v>0</v>
      </c>
      <c r="S20" s="33">
        <f t="shared" si="8"/>
        <v>0</v>
      </c>
      <c r="T20" s="33">
        <f t="shared" si="8"/>
        <v>0</v>
      </c>
      <c r="U20" s="33">
        <f t="shared" si="8"/>
        <v>0</v>
      </c>
      <c r="V20" s="33">
        <f t="shared" si="8"/>
        <v>0</v>
      </c>
      <c r="W20" s="33">
        <f t="shared" si="8"/>
        <v>0</v>
      </c>
      <c r="X20" s="33">
        <f t="shared" si="8"/>
        <v>0</v>
      </c>
      <c r="Y20" s="33">
        <f t="shared" si="8"/>
        <v>0</v>
      </c>
      <c r="Z20" s="33"/>
      <c r="AA20" s="33">
        <f t="shared" si="8"/>
        <v>0</v>
      </c>
      <c r="AB20" s="35">
        <f t="shared" si="0"/>
        <v>0</v>
      </c>
      <c r="AC20" s="57"/>
    </row>
    <row r="21" spans="1:29" ht="16.5" thickBot="1" x14ac:dyDescent="0.3">
      <c r="A21" s="69"/>
      <c r="B21" s="61"/>
      <c r="C21" s="61"/>
      <c r="D21" s="36" t="s">
        <v>77</v>
      </c>
      <c r="E21" s="37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/>
      <c r="Y21" s="38"/>
      <c r="Z21" s="39"/>
      <c r="AA21" s="39"/>
      <c r="AB21" s="40">
        <f t="shared" si="0"/>
        <v>0</v>
      </c>
      <c r="AC21" s="58"/>
    </row>
    <row r="22" spans="1:29" ht="15.75" customHeight="1" x14ac:dyDescent="0.25">
      <c r="A22" s="67" t="s">
        <v>22</v>
      </c>
      <c r="B22" s="59">
        <v>18707007</v>
      </c>
      <c r="C22" s="59" t="s">
        <v>74</v>
      </c>
      <c r="D22" s="25" t="s">
        <v>75</v>
      </c>
      <c r="E22" s="41">
        <v>3</v>
      </c>
      <c r="F22" s="28">
        <v>3</v>
      </c>
      <c r="G22" s="28">
        <v>1</v>
      </c>
      <c r="H22" s="28">
        <v>2</v>
      </c>
      <c r="I22" s="28">
        <v>5</v>
      </c>
      <c r="J22" s="28">
        <v>0</v>
      </c>
      <c r="K22" s="28">
        <v>0</v>
      </c>
      <c r="L22" s="28">
        <v>1</v>
      </c>
      <c r="M22" s="28">
        <v>0</v>
      </c>
      <c r="N22" s="28">
        <v>0</v>
      </c>
      <c r="O22" s="28">
        <v>11</v>
      </c>
      <c r="P22" s="28">
        <v>14</v>
      </c>
      <c r="Q22" s="28">
        <v>11</v>
      </c>
      <c r="R22" s="28">
        <v>14</v>
      </c>
      <c r="S22" s="27">
        <v>16</v>
      </c>
      <c r="T22" s="28">
        <v>10</v>
      </c>
      <c r="U22" s="28">
        <v>10</v>
      </c>
      <c r="V22" s="27">
        <v>7</v>
      </c>
      <c r="W22" s="28">
        <v>17</v>
      </c>
      <c r="X22" s="28">
        <v>14</v>
      </c>
      <c r="Y22" s="27"/>
      <c r="Z22" s="42"/>
      <c r="AA22" s="42"/>
      <c r="AB22" s="30">
        <f t="shared" si="0"/>
        <v>139</v>
      </c>
      <c r="AC22" s="56">
        <f t="shared" ref="AC22" si="9">IFERROR((AB22-(AB22-AB24))/AB22,0)</f>
        <v>0.1223021582733813</v>
      </c>
    </row>
    <row r="23" spans="1:29" x14ac:dyDescent="0.25">
      <c r="A23" s="68"/>
      <c r="B23" s="60"/>
      <c r="C23" s="60"/>
      <c r="D23" s="31" t="s">
        <v>83</v>
      </c>
      <c r="E23" s="32">
        <f t="shared" ref="E23:AA23" si="10">E22-E24</f>
        <v>3</v>
      </c>
      <c r="F23" s="33">
        <f t="shared" si="10"/>
        <v>3</v>
      </c>
      <c r="G23" s="33">
        <f t="shared" si="10"/>
        <v>1</v>
      </c>
      <c r="H23" s="33">
        <f t="shared" si="10"/>
        <v>2</v>
      </c>
      <c r="I23" s="33">
        <f t="shared" si="10"/>
        <v>0</v>
      </c>
      <c r="J23" s="33">
        <f t="shared" si="10"/>
        <v>0</v>
      </c>
      <c r="K23" s="33">
        <f t="shared" si="10"/>
        <v>0</v>
      </c>
      <c r="L23" s="33">
        <f t="shared" si="10"/>
        <v>0</v>
      </c>
      <c r="M23" s="33">
        <f t="shared" si="10"/>
        <v>0</v>
      </c>
      <c r="N23" s="33">
        <f t="shared" si="10"/>
        <v>0</v>
      </c>
      <c r="O23" s="33">
        <f t="shared" si="10"/>
        <v>11</v>
      </c>
      <c r="P23" s="33">
        <f t="shared" si="10"/>
        <v>14</v>
      </c>
      <c r="Q23" s="33">
        <f t="shared" si="10"/>
        <v>11</v>
      </c>
      <c r="R23" s="33">
        <f t="shared" si="10"/>
        <v>12</v>
      </c>
      <c r="S23" s="33">
        <f t="shared" si="10"/>
        <v>16</v>
      </c>
      <c r="T23" s="33">
        <f t="shared" si="10"/>
        <v>10</v>
      </c>
      <c r="U23" s="33">
        <f t="shared" si="10"/>
        <v>10</v>
      </c>
      <c r="V23" s="33">
        <f t="shared" si="10"/>
        <v>6</v>
      </c>
      <c r="W23" s="33">
        <f t="shared" si="10"/>
        <v>11</v>
      </c>
      <c r="X23" s="33">
        <f t="shared" si="10"/>
        <v>12</v>
      </c>
      <c r="Y23" s="33">
        <f t="shared" si="10"/>
        <v>0</v>
      </c>
      <c r="Z23" s="33"/>
      <c r="AA23" s="33">
        <f t="shared" si="10"/>
        <v>0</v>
      </c>
      <c r="AB23" s="35">
        <f t="shared" si="0"/>
        <v>122</v>
      </c>
      <c r="AC23" s="57"/>
    </row>
    <row r="24" spans="1:29" ht="16.5" thickBot="1" x14ac:dyDescent="0.3">
      <c r="A24" s="69"/>
      <c r="B24" s="61"/>
      <c r="C24" s="61"/>
      <c r="D24" s="36" t="s">
        <v>77</v>
      </c>
      <c r="E24" s="37">
        <v>0</v>
      </c>
      <c r="F24" s="38">
        <v>0</v>
      </c>
      <c r="G24" s="38">
        <v>0</v>
      </c>
      <c r="H24" s="38">
        <v>0</v>
      </c>
      <c r="I24" s="38">
        <v>5</v>
      </c>
      <c r="J24" s="38">
        <v>0</v>
      </c>
      <c r="K24" s="38">
        <v>0</v>
      </c>
      <c r="L24" s="38">
        <v>1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2</v>
      </c>
      <c r="S24" s="38">
        <v>0</v>
      </c>
      <c r="T24" s="38">
        <v>0</v>
      </c>
      <c r="U24" s="38">
        <v>0</v>
      </c>
      <c r="V24" s="38">
        <v>1</v>
      </c>
      <c r="W24" s="38">
        <v>6</v>
      </c>
      <c r="X24" s="38">
        <v>2</v>
      </c>
      <c r="Y24" s="38"/>
      <c r="Z24" s="39"/>
      <c r="AA24" s="39"/>
      <c r="AB24" s="40">
        <f t="shared" si="0"/>
        <v>17</v>
      </c>
      <c r="AC24" s="58"/>
    </row>
    <row r="25" spans="1:29" ht="15.75" customHeight="1" x14ac:dyDescent="0.25">
      <c r="A25" s="67" t="s">
        <v>23</v>
      </c>
      <c r="B25" s="59">
        <v>15183308</v>
      </c>
      <c r="C25" s="59" t="s">
        <v>79</v>
      </c>
      <c r="D25" s="25" t="s">
        <v>75</v>
      </c>
      <c r="E25" s="41">
        <v>0</v>
      </c>
      <c r="F25" s="28">
        <v>8</v>
      </c>
      <c r="G25" s="28">
        <v>5</v>
      </c>
      <c r="H25" s="28">
        <v>7</v>
      </c>
      <c r="I25" s="28">
        <v>12</v>
      </c>
      <c r="J25" s="28">
        <v>4</v>
      </c>
      <c r="K25" s="29">
        <v>0</v>
      </c>
      <c r="L25" s="28">
        <v>0</v>
      </c>
      <c r="M25" s="28">
        <v>0</v>
      </c>
      <c r="N25" s="28">
        <v>0</v>
      </c>
      <c r="O25" s="28">
        <v>7</v>
      </c>
      <c r="P25" s="28">
        <v>13</v>
      </c>
      <c r="Q25" s="28">
        <v>9</v>
      </c>
      <c r="R25" s="28">
        <v>10</v>
      </c>
      <c r="S25" s="28">
        <v>19</v>
      </c>
      <c r="T25" s="28">
        <v>0</v>
      </c>
      <c r="U25" s="28">
        <v>0</v>
      </c>
      <c r="V25" s="27">
        <v>0</v>
      </c>
      <c r="W25" s="28">
        <v>1</v>
      </c>
      <c r="X25" s="28">
        <v>1</v>
      </c>
      <c r="Y25" s="27"/>
      <c r="Z25" s="42"/>
      <c r="AA25" s="42"/>
      <c r="AB25" s="30">
        <f t="shared" si="0"/>
        <v>96</v>
      </c>
      <c r="AC25" s="56">
        <f t="shared" ref="AC25" si="11">IFERROR((AB25-(AB25-AB27))/AB25,0)</f>
        <v>0.16666666666666666</v>
      </c>
    </row>
    <row r="26" spans="1:29" x14ac:dyDescent="0.25">
      <c r="A26" s="68"/>
      <c r="B26" s="60"/>
      <c r="C26" s="60"/>
      <c r="D26" s="31" t="s">
        <v>83</v>
      </c>
      <c r="E26" s="32">
        <f t="shared" ref="E26:AA26" si="12">E25-E27</f>
        <v>0</v>
      </c>
      <c r="F26" s="33">
        <f t="shared" si="12"/>
        <v>8</v>
      </c>
      <c r="G26" s="33">
        <f t="shared" si="12"/>
        <v>5</v>
      </c>
      <c r="H26" s="33">
        <f t="shared" si="12"/>
        <v>7</v>
      </c>
      <c r="I26" s="33">
        <f t="shared" si="12"/>
        <v>12</v>
      </c>
      <c r="J26" s="33">
        <f t="shared" si="12"/>
        <v>4</v>
      </c>
      <c r="K26" s="33">
        <f t="shared" si="12"/>
        <v>0</v>
      </c>
      <c r="L26" s="33">
        <f t="shared" si="12"/>
        <v>0</v>
      </c>
      <c r="M26" s="33">
        <f t="shared" si="12"/>
        <v>0</v>
      </c>
      <c r="N26" s="33">
        <f t="shared" si="12"/>
        <v>0</v>
      </c>
      <c r="O26" s="33">
        <f t="shared" si="12"/>
        <v>7</v>
      </c>
      <c r="P26" s="33">
        <f t="shared" si="12"/>
        <v>13</v>
      </c>
      <c r="Q26" s="33">
        <f t="shared" si="12"/>
        <v>4</v>
      </c>
      <c r="R26" s="33">
        <v>0</v>
      </c>
      <c r="S26" s="33">
        <f t="shared" si="12"/>
        <v>11</v>
      </c>
      <c r="T26" s="33">
        <f t="shared" si="12"/>
        <v>0</v>
      </c>
      <c r="U26" s="33">
        <f t="shared" si="12"/>
        <v>0</v>
      </c>
      <c r="V26" s="33">
        <f t="shared" si="12"/>
        <v>0</v>
      </c>
      <c r="W26" s="33">
        <f t="shared" si="12"/>
        <v>0</v>
      </c>
      <c r="X26" s="33">
        <f t="shared" si="12"/>
        <v>0</v>
      </c>
      <c r="Y26" s="33">
        <f t="shared" si="12"/>
        <v>0</v>
      </c>
      <c r="Z26" s="33"/>
      <c r="AA26" s="33">
        <f t="shared" si="12"/>
        <v>0</v>
      </c>
      <c r="AB26" s="35">
        <f t="shared" si="0"/>
        <v>71</v>
      </c>
      <c r="AC26" s="57"/>
    </row>
    <row r="27" spans="1:29" ht="16.5" thickBot="1" x14ac:dyDescent="0.3">
      <c r="A27" s="69"/>
      <c r="B27" s="61"/>
      <c r="C27" s="61"/>
      <c r="D27" s="36" t="s">
        <v>77</v>
      </c>
      <c r="E27" s="37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5</v>
      </c>
      <c r="R27" s="38">
        <v>1</v>
      </c>
      <c r="S27" s="38">
        <v>8</v>
      </c>
      <c r="T27" s="38">
        <v>0</v>
      </c>
      <c r="U27" s="38">
        <v>0</v>
      </c>
      <c r="V27" s="38">
        <v>0</v>
      </c>
      <c r="W27" s="38">
        <v>1</v>
      </c>
      <c r="X27" s="38">
        <v>1</v>
      </c>
      <c r="Y27" s="38"/>
      <c r="Z27" s="39"/>
      <c r="AA27" s="39"/>
      <c r="AB27" s="40">
        <f t="shared" si="0"/>
        <v>16</v>
      </c>
      <c r="AC27" s="58"/>
    </row>
    <row r="28" spans="1:29" ht="15.75" customHeight="1" x14ac:dyDescent="0.25">
      <c r="A28" s="67" t="s">
        <v>24</v>
      </c>
      <c r="B28" s="59">
        <v>14870782</v>
      </c>
      <c r="C28" s="59" t="s">
        <v>79</v>
      </c>
      <c r="D28" s="25" t="s">
        <v>75</v>
      </c>
      <c r="E28" s="41">
        <v>0</v>
      </c>
      <c r="F28" s="28">
        <v>1</v>
      </c>
      <c r="G28" s="28">
        <v>6</v>
      </c>
      <c r="H28" s="28">
        <v>15</v>
      </c>
      <c r="I28" s="28">
        <v>9</v>
      </c>
      <c r="J28" s="28">
        <v>14</v>
      </c>
      <c r="K28" s="29">
        <v>7</v>
      </c>
      <c r="L28" s="28">
        <v>17</v>
      </c>
      <c r="M28" s="28">
        <v>11</v>
      </c>
      <c r="N28" s="28">
        <v>10</v>
      </c>
      <c r="O28" s="28">
        <v>0</v>
      </c>
      <c r="P28" s="28">
        <v>1</v>
      </c>
      <c r="Q28" s="28">
        <v>3</v>
      </c>
      <c r="R28" s="27">
        <v>1</v>
      </c>
      <c r="S28" s="28">
        <v>0</v>
      </c>
      <c r="T28" s="28">
        <v>0</v>
      </c>
      <c r="U28" s="28">
        <v>0</v>
      </c>
      <c r="V28" s="27">
        <v>0</v>
      </c>
      <c r="W28" s="28">
        <v>0</v>
      </c>
      <c r="X28" s="28"/>
      <c r="Y28" s="27"/>
      <c r="Z28" s="42"/>
      <c r="AA28" s="42"/>
      <c r="AB28" s="30">
        <f t="shared" si="0"/>
        <v>95</v>
      </c>
      <c r="AC28" s="56">
        <f t="shared" ref="AC28" si="13">IFERROR((AB28-(AB28-AB30))/AB28,0)</f>
        <v>5.2631578947368418E-2</v>
      </c>
    </row>
    <row r="29" spans="1:29" x14ac:dyDescent="0.25">
      <c r="A29" s="68"/>
      <c r="B29" s="60"/>
      <c r="C29" s="60"/>
      <c r="D29" s="31" t="s">
        <v>83</v>
      </c>
      <c r="E29" s="32">
        <f t="shared" ref="E29:AA29" si="14">E28-E30</f>
        <v>0</v>
      </c>
      <c r="F29" s="33">
        <f t="shared" si="14"/>
        <v>1</v>
      </c>
      <c r="G29" s="33">
        <f t="shared" si="14"/>
        <v>6</v>
      </c>
      <c r="H29" s="33">
        <f t="shared" si="14"/>
        <v>15</v>
      </c>
      <c r="I29" s="33">
        <f t="shared" si="14"/>
        <v>9</v>
      </c>
      <c r="J29" s="33">
        <f t="shared" si="14"/>
        <v>14</v>
      </c>
      <c r="K29" s="33">
        <f t="shared" si="14"/>
        <v>7</v>
      </c>
      <c r="L29" s="33">
        <f t="shared" si="14"/>
        <v>17</v>
      </c>
      <c r="M29" s="33">
        <f t="shared" si="14"/>
        <v>11</v>
      </c>
      <c r="N29" s="33">
        <f t="shared" si="14"/>
        <v>10</v>
      </c>
      <c r="O29" s="33">
        <f t="shared" si="14"/>
        <v>0</v>
      </c>
      <c r="P29" s="33">
        <f t="shared" si="14"/>
        <v>0</v>
      </c>
      <c r="Q29" s="33">
        <f t="shared" si="14"/>
        <v>0</v>
      </c>
      <c r="R29" s="33">
        <f t="shared" si="14"/>
        <v>0</v>
      </c>
      <c r="S29" s="33">
        <f t="shared" si="14"/>
        <v>0</v>
      </c>
      <c r="T29" s="33">
        <f t="shared" si="14"/>
        <v>0</v>
      </c>
      <c r="U29" s="33">
        <f t="shared" si="14"/>
        <v>0</v>
      </c>
      <c r="V29" s="33">
        <f t="shared" si="14"/>
        <v>0</v>
      </c>
      <c r="W29" s="33">
        <f t="shared" si="14"/>
        <v>0</v>
      </c>
      <c r="X29" s="33">
        <f t="shared" si="14"/>
        <v>0</v>
      </c>
      <c r="Y29" s="33">
        <f t="shared" si="14"/>
        <v>0</v>
      </c>
      <c r="Z29" s="33"/>
      <c r="AA29" s="33">
        <f t="shared" si="14"/>
        <v>0</v>
      </c>
      <c r="AB29" s="35">
        <f t="shared" si="0"/>
        <v>90</v>
      </c>
      <c r="AC29" s="57"/>
    </row>
    <row r="30" spans="1:29" ht="16.5" thickBot="1" x14ac:dyDescent="0.3">
      <c r="A30" s="69"/>
      <c r="B30" s="61"/>
      <c r="C30" s="61"/>
      <c r="D30" s="36" t="s">
        <v>77</v>
      </c>
      <c r="E30" s="37">
        <v>0</v>
      </c>
      <c r="F30" s="38">
        <v>0</v>
      </c>
      <c r="G30" s="38">
        <v>0</v>
      </c>
      <c r="H30" s="38">
        <v>0</v>
      </c>
      <c r="I30" s="38">
        <v>0</v>
      </c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1</v>
      </c>
      <c r="Q30" s="38">
        <v>3</v>
      </c>
      <c r="R30" s="38">
        <v>1</v>
      </c>
      <c r="S30" s="38">
        <v>0</v>
      </c>
      <c r="T30" s="38">
        <v>0</v>
      </c>
      <c r="U30" s="38">
        <v>0</v>
      </c>
      <c r="V30" s="38">
        <v>0</v>
      </c>
      <c r="W30" s="38">
        <v>0</v>
      </c>
      <c r="X30" s="38"/>
      <c r="Y30" s="38"/>
      <c r="Z30" s="39"/>
      <c r="AA30" s="39"/>
      <c r="AB30" s="40">
        <f t="shared" si="0"/>
        <v>5</v>
      </c>
      <c r="AC30" s="58"/>
    </row>
    <row r="31" spans="1:29" x14ac:dyDescent="0.25">
      <c r="A31" s="67" t="s">
        <v>84</v>
      </c>
      <c r="B31" s="59">
        <v>16113462</v>
      </c>
      <c r="C31" s="59" t="s">
        <v>74</v>
      </c>
      <c r="D31" s="25" t="s">
        <v>75</v>
      </c>
      <c r="E31" s="41">
        <v>0</v>
      </c>
      <c r="F31" s="28">
        <v>0</v>
      </c>
      <c r="G31" s="28">
        <v>1</v>
      </c>
      <c r="H31" s="28">
        <v>1</v>
      </c>
      <c r="I31" s="28">
        <v>0</v>
      </c>
      <c r="J31" s="28">
        <v>4</v>
      </c>
      <c r="K31" s="28">
        <v>6</v>
      </c>
      <c r="L31" s="28">
        <v>1</v>
      </c>
      <c r="M31" s="28">
        <v>2</v>
      </c>
      <c r="N31" s="28">
        <v>2</v>
      </c>
      <c r="O31" s="28">
        <v>6</v>
      </c>
      <c r="P31" s="28">
        <v>7</v>
      </c>
      <c r="Q31" s="28">
        <v>6</v>
      </c>
      <c r="R31" s="27">
        <v>10</v>
      </c>
      <c r="S31" s="27">
        <v>19</v>
      </c>
      <c r="T31" s="28">
        <v>7</v>
      </c>
      <c r="U31" s="28">
        <v>19</v>
      </c>
      <c r="V31" s="27">
        <v>15</v>
      </c>
      <c r="W31" s="28">
        <v>15</v>
      </c>
      <c r="X31" s="28">
        <v>16</v>
      </c>
      <c r="Y31" s="27"/>
      <c r="Z31" s="42"/>
      <c r="AA31" s="42"/>
      <c r="AB31" s="30">
        <f t="shared" si="0"/>
        <v>137</v>
      </c>
      <c r="AC31" s="56">
        <f t="shared" ref="AC31" si="15">IFERROR((AB31-(AB31-AB33))/AB31,0)</f>
        <v>0.11678832116788321</v>
      </c>
    </row>
    <row r="32" spans="1:29" x14ac:dyDescent="0.25">
      <c r="A32" s="68"/>
      <c r="B32" s="60"/>
      <c r="C32" s="60"/>
      <c r="D32" s="31" t="s">
        <v>83</v>
      </c>
      <c r="E32" s="32">
        <f t="shared" ref="E32:AA32" si="16">E31-E33</f>
        <v>0</v>
      </c>
      <c r="F32" s="33">
        <f t="shared" si="16"/>
        <v>0</v>
      </c>
      <c r="G32" s="33">
        <f t="shared" si="16"/>
        <v>1</v>
      </c>
      <c r="H32" s="33">
        <f t="shared" si="16"/>
        <v>1</v>
      </c>
      <c r="I32" s="33">
        <f t="shared" si="16"/>
        <v>0</v>
      </c>
      <c r="J32" s="33">
        <f t="shared" si="16"/>
        <v>4</v>
      </c>
      <c r="K32" s="33">
        <f t="shared" si="16"/>
        <v>2</v>
      </c>
      <c r="L32" s="33">
        <f t="shared" si="16"/>
        <v>0</v>
      </c>
      <c r="M32" s="33">
        <f t="shared" si="16"/>
        <v>2</v>
      </c>
      <c r="N32" s="33">
        <f t="shared" si="16"/>
        <v>2</v>
      </c>
      <c r="O32" s="33">
        <f t="shared" si="16"/>
        <v>6</v>
      </c>
      <c r="P32" s="33">
        <f t="shared" si="16"/>
        <v>6</v>
      </c>
      <c r="Q32" s="33">
        <f t="shared" si="16"/>
        <v>5</v>
      </c>
      <c r="R32" s="33">
        <f t="shared" si="16"/>
        <v>6</v>
      </c>
      <c r="S32" s="33">
        <f t="shared" si="16"/>
        <v>18</v>
      </c>
      <c r="T32" s="33">
        <f t="shared" si="16"/>
        <v>7</v>
      </c>
      <c r="U32" s="33">
        <f t="shared" si="16"/>
        <v>17</v>
      </c>
      <c r="V32" s="33">
        <v>4</v>
      </c>
      <c r="W32" s="33">
        <f t="shared" si="16"/>
        <v>15</v>
      </c>
      <c r="X32" s="33">
        <f t="shared" si="16"/>
        <v>16</v>
      </c>
      <c r="Y32" s="33">
        <f t="shared" si="16"/>
        <v>0</v>
      </c>
      <c r="Z32" s="33"/>
      <c r="AA32" s="33">
        <f t="shared" si="16"/>
        <v>0</v>
      </c>
      <c r="AB32" s="35">
        <f t="shared" si="0"/>
        <v>112</v>
      </c>
      <c r="AC32" s="57"/>
    </row>
    <row r="33" spans="1:29" ht="16.5" thickBot="1" x14ac:dyDescent="0.3">
      <c r="A33" s="69"/>
      <c r="B33" s="61"/>
      <c r="C33" s="61"/>
      <c r="D33" s="36" t="s">
        <v>77</v>
      </c>
      <c r="E33" s="37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4</v>
      </c>
      <c r="L33" s="38">
        <v>1</v>
      </c>
      <c r="M33" s="38">
        <v>0</v>
      </c>
      <c r="N33" s="38">
        <v>0</v>
      </c>
      <c r="O33" s="38">
        <v>0</v>
      </c>
      <c r="P33" s="38">
        <v>1</v>
      </c>
      <c r="Q33" s="38">
        <v>1</v>
      </c>
      <c r="R33" s="38">
        <v>4</v>
      </c>
      <c r="S33" s="38">
        <v>1</v>
      </c>
      <c r="T33" s="38">
        <v>0</v>
      </c>
      <c r="U33" s="38">
        <v>2</v>
      </c>
      <c r="V33" s="38">
        <v>2</v>
      </c>
      <c r="W33" s="38">
        <v>0</v>
      </c>
      <c r="X33" s="38"/>
      <c r="Y33" s="38"/>
      <c r="Z33" s="39"/>
      <c r="AA33" s="39"/>
      <c r="AB33" s="40">
        <f t="shared" si="0"/>
        <v>16</v>
      </c>
      <c r="AC33" s="58"/>
    </row>
    <row r="34" spans="1:29" hidden="1" x14ac:dyDescent="0.25">
      <c r="A34" s="67"/>
      <c r="B34" s="59">
        <v>27138234</v>
      </c>
      <c r="C34" s="59" t="s">
        <v>78</v>
      </c>
      <c r="D34" s="25" t="s">
        <v>75</v>
      </c>
      <c r="E34" s="41"/>
      <c r="F34" s="28"/>
      <c r="G34" s="28"/>
      <c r="H34" s="28"/>
      <c r="I34" s="41"/>
      <c r="J34" s="28"/>
      <c r="K34" s="27"/>
      <c r="L34" s="28"/>
      <c r="M34" s="28"/>
      <c r="N34" s="28"/>
      <c r="O34" s="28"/>
      <c r="P34" s="28"/>
      <c r="Q34" s="28"/>
      <c r="R34" s="27"/>
      <c r="S34" s="28"/>
      <c r="T34" s="28"/>
      <c r="U34" s="28"/>
      <c r="V34" s="27"/>
      <c r="W34" s="28"/>
      <c r="X34" s="28"/>
      <c r="Y34" s="27"/>
      <c r="Z34" s="42"/>
      <c r="AA34" s="42"/>
      <c r="AB34" s="30">
        <f t="shared" si="0"/>
        <v>0</v>
      </c>
      <c r="AC34" s="56">
        <f t="shared" ref="AC34" si="17">IFERROR((AB34-(AB34-AB36))/AB34,0)</f>
        <v>0</v>
      </c>
    </row>
    <row r="35" spans="1:29" hidden="1" x14ac:dyDescent="0.25">
      <c r="A35" s="68"/>
      <c r="B35" s="60"/>
      <c r="C35" s="60"/>
      <c r="D35" s="31" t="s">
        <v>83</v>
      </c>
      <c r="E35" s="32">
        <f t="shared" ref="E35:AA35" si="18">E34-E36</f>
        <v>0</v>
      </c>
      <c r="F35" s="33">
        <f t="shared" si="18"/>
        <v>0</v>
      </c>
      <c r="G35" s="33">
        <f t="shared" si="18"/>
        <v>0</v>
      </c>
      <c r="H35" s="33">
        <f t="shared" si="18"/>
        <v>0</v>
      </c>
      <c r="I35" s="33">
        <f t="shared" si="18"/>
        <v>0</v>
      </c>
      <c r="J35" s="33">
        <f t="shared" si="18"/>
        <v>0</v>
      </c>
      <c r="K35" s="33">
        <f t="shared" si="18"/>
        <v>0</v>
      </c>
      <c r="L35" s="33">
        <f t="shared" si="18"/>
        <v>0</v>
      </c>
      <c r="M35" s="33">
        <f t="shared" si="18"/>
        <v>0</v>
      </c>
      <c r="N35" s="33">
        <f t="shared" si="18"/>
        <v>0</v>
      </c>
      <c r="O35" s="33">
        <f t="shared" si="18"/>
        <v>0</v>
      </c>
      <c r="P35" s="33">
        <f t="shared" si="18"/>
        <v>0</v>
      </c>
      <c r="Q35" s="33">
        <f t="shared" si="18"/>
        <v>0</v>
      </c>
      <c r="R35" s="33">
        <f t="shared" si="18"/>
        <v>0</v>
      </c>
      <c r="S35" s="33">
        <f t="shared" si="18"/>
        <v>0</v>
      </c>
      <c r="T35" s="33">
        <f t="shared" si="18"/>
        <v>0</v>
      </c>
      <c r="U35" s="33">
        <f t="shared" si="18"/>
        <v>0</v>
      </c>
      <c r="V35" s="33">
        <f t="shared" si="18"/>
        <v>0</v>
      </c>
      <c r="W35" s="33">
        <f t="shared" si="18"/>
        <v>0</v>
      </c>
      <c r="X35" s="33">
        <f t="shared" si="18"/>
        <v>0</v>
      </c>
      <c r="Y35" s="33">
        <f t="shared" si="18"/>
        <v>0</v>
      </c>
      <c r="Z35" s="33"/>
      <c r="AA35" s="33">
        <f t="shared" si="18"/>
        <v>0</v>
      </c>
      <c r="AB35" s="35">
        <f t="shared" si="0"/>
        <v>0</v>
      </c>
      <c r="AC35" s="57"/>
    </row>
    <row r="36" spans="1:29" ht="16.5" hidden="1" thickBot="1" x14ac:dyDescent="0.3">
      <c r="A36" s="69"/>
      <c r="B36" s="61"/>
      <c r="C36" s="61"/>
      <c r="D36" s="36" t="s">
        <v>77</v>
      </c>
      <c r="E36" s="37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9"/>
      <c r="AA36" s="39"/>
      <c r="AB36" s="40">
        <f t="shared" si="0"/>
        <v>0</v>
      </c>
      <c r="AC36" s="58"/>
    </row>
    <row r="37" spans="1:29" hidden="1" x14ac:dyDescent="0.25">
      <c r="A37" s="67"/>
      <c r="B37" s="59">
        <v>17509720</v>
      </c>
      <c r="C37" s="59" t="s">
        <v>74</v>
      </c>
      <c r="D37" s="25" t="s">
        <v>75</v>
      </c>
      <c r="E37" s="26"/>
      <c r="F37" s="27"/>
      <c r="G37" s="28"/>
      <c r="H37" s="28"/>
      <c r="I37" s="28"/>
      <c r="J37" s="28"/>
      <c r="K37" s="29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7"/>
      <c r="W37" s="28"/>
      <c r="X37" s="28"/>
      <c r="Y37" s="27"/>
      <c r="Z37" s="42"/>
      <c r="AA37" s="42"/>
      <c r="AB37" s="30">
        <f t="shared" si="0"/>
        <v>0</v>
      </c>
      <c r="AC37" s="56">
        <f t="shared" ref="AC37" si="19">IFERROR((AB37-(AB37-AB39))/AB37,0)</f>
        <v>0</v>
      </c>
    </row>
    <row r="38" spans="1:29" hidden="1" x14ac:dyDescent="0.25">
      <c r="A38" s="68"/>
      <c r="B38" s="60"/>
      <c r="C38" s="60"/>
      <c r="D38" s="31" t="s">
        <v>83</v>
      </c>
      <c r="E38" s="32">
        <f t="shared" ref="E38:AA38" si="20">E37-E39</f>
        <v>0</v>
      </c>
      <c r="F38" s="33">
        <f t="shared" si="20"/>
        <v>0</v>
      </c>
      <c r="G38" s="33">
        <f t="shared" si="20"/>
        <v>0</v>
      </c>
      <c r="H38" s="33">
        <f t="shared" si="20"/>
        <v>0</v>
      </c>
      <c r="I38" s="33">
        <f t="shared" si="20"/>
        <v>0</v>
      </c>
      <c r="J38" s="33">
        <f t="shared" si="20"/>
        <v>0</v>
      </c>
      <c r="K38" s="33">
        <f t="shared" si="20"/>
        <v>0</v>
      </c>
      <c r="L38" s="33">
        <f t="shared" si="20"/>
        <v>0</v>
      </c>
      <c r="M38" s="33">
        <f t="shared" si="20"/>
        <v>0</v>
      </c>
      <c r="N38" s="33">
        <f t="shared" si="20"/>
        <v>0</v>
      </c>
      <c r="O38" s="33">
        <f t="shared" si="20"/>
        <v>0</v>
      </c>
      <c r="P38" s="33">
        <f t="shared" si="20"/>
        <v>0</v>
      </c>
      <c r="Q38" s="33">
        <f t="shared" si="20"/>
        <v>0</v>
      </c>
      <c r="R38" s="33">
        <f t="shared" si="20"/>
        <v>0</v>
      </c>
      <c r="S38" s="33">
        <f t="shared" si="20"/>
        <v>0</v>
      </c>
      <c r="T38" s="33">
        <f t="shared" si="20"/>
        <v>0</v>
      </c>
      <c r="U38" s="33">
        <f t="shared" si="20"/>
        <v>0</v>
      </c>
      <c r="V38" s="33">
        <f t="shared" si="20"/>
        <v>0</v>
      </c>
      <c r="W38" s="33">
        <f t="shared" si="20"/>
        <v>0</v>
      </c>
      <c r="X38" s="33">
        <f t="shared" si="20"/>
        <v>0</v>
      </c>
      <c r="Y38" s="33">
        <f t="shared" si="20"/>
        <v>0</v>
      </c>
      <c r="Z38" s="33"/>
      <c r="AA38" s="33">
        <f t="shared" si="20"/>
        <v>0</v>
      </c>
      <c r="AB38" s="35">
        <f t="shared" si="0"/>
        <v>0</v>
      </c>
      <c r="AC38" s="57"/>
    </row>
    <row r="39" spans="1:29" ht="16.5" hidden="1" thickBot="1" x14ac:dyDescent="0.3">
      <c r="A39" s="69"/>
      <c r="B39" s="61"/>
      <c r="C39" s="61"/>
      <c r="D39" s="36" t="s">
        <v>77</v>
      </c>
      <c r="E39" s="37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9"/>
      <c r="AA39" s="39"/>
      <c r="AB39" s="40">
        <f t="shared" si="0"/>
        <v>0</v>
      </c>
      <c r="AC39" s="58"/>
    </row>
    <row r="40" spans="1:29" hidden="1" x14ac:dyDescent="0.25">
      <c r="A40" s="67"/>
      <c r="B40" s="59">
        <v>17509720</v>
      </c>
      <c r="C40" s="59" t="s">
        <v>74</v>
      </c>
      <c r="D40" s="25" t="s">
        <v>75</v>
      </c>
      <c r="E40" s="26"/>
      <c r="F40" s="27"/>
      <c r="G40" s="28"/>
      <c r="H40" s="28"/>
      <c r="I40" s="28"/>
      <c r="J40" s="28"/>
      <c r="K40" s="29"/>
      <c r="L40" s="28"/>
      <c r="M40" s="28"/>
      <c r="N40" s="28"/>
      <c r="O40" s="28"/>
      <c r="P40" s="27"/>
      <c r="Q40" s="29"/>
      <c r="R40" s="28"/>
      <c r="S40" s="27"/>
      <c r="T40" s="28"/>
      <c r="U40" s="28"/>
      <c r="V40" s="27"/>
      <c r="W40" s="28"/>
      <c r="X40" s="28"/>
      <c r="Y40" s="27"/>
      <c r="Z40" s="42"/>
      <c r="AA40" s="42"/>
      <c r="AB40" s="30">
        <f t="shared" si="0"/>
        <v>0</v>
      </c>
      <c r="AC40" s="56">
        <f t="shared" ref="AC40" si="21">IFERROR((AB40-(AB40-AB42))/AB40,0)</f>
        <v>0</v>
      </c>
    </row>
    <row r="41" spans="1:29" hidden="1" x14ac:dyDescent="0.25">
      <c r="A41" s="68"/>
      <c r="B41" s="60"/>
      <c r="C41" s="60"/>
      <c r="D41" s="31" t="s">
        <v>83</v>
      </c>
      <c r="E41" s="32">
        <f t="shared" ref="E41:AA41" si="22">E40-E42</f>
        <v>0</v>
      </c>
      <c r="F41" s="33">
        <f t="shared" si="22"/>
        <v>0</v>
      </c>
      <c r="G41" s="33">
        <f t="shared" si="22"/>
        <v>0</v>
      </c>
      <c r="H41" s="33">
        <f t="shared" si="22"/>
        <v>0</v>
      </c>
      <c r="I41" s="33">
        <f t="shared" si="22"/>
        <v>0</v>
      </c>
      <c r="J41" s="33">
        <f t="shared" si="22"/>
        <v>0</v>
      </c>
      <c r="K41" s="33">
        <f t="shared" si="22"/>
        <v>0</v>
      </c>
      <c r="L41" s="33">
        <f t="shared" si="22"/>
        <v>0</v>
      </c>
      <c r="M41" s="33">
        <f t="shared" si="22"/>
        <v>0</v>
      </c>
      <c r="N41" s="33">
        <f t="shared" si="22"/>
        <v>0</v>
      </c>
      <c r="O41" s="33">
        <f t="shared" si="22"/>
        <v>0</v>
      </c>
      <c r="P41" s="33">
        <f t="shared" si="22"/>
        <v>0</v>
      </c>
      <c r="Q41" s="33">
        <f t="shared" si="22"/>
        <v>0</v>
      </c>
      <c r="R41" s="33">
        <f t="shared" si="22"/>
        <v>0</v>
      </c>
      <c r="S41" s="33">
        <f t="shared" si="22"/>
        <v>0</v>
      </c>
      <c r="T41" s="33">
        <f t="shared" si="22"/>
        <v>0</v>
      </c>
      <c r="U41" s="33">
        <f t="shared" si="22"/>
        <v>0</v>
      </c>
      <c r="V41" s="33">
        <f t="shared" si="22"/>
        <v>0</v>
      </c>
      <c r="W41" s="33">
        <f t="shared" si="22"/>
        <v>0</v>
      </c>
      <c r="X41" s="33">
        <f t="shared" si="22"/>
        <v>0</v>
      </c>
      <c r="Y41" s="33">
        <f t="shared" si="22"/>
        <v>0</v>
      </c>
      <c r="Z41" s="33"/>
      <c r="AA41" s="33">
        <f t="shared" si="22"/>
        <v>0</v>
      </c>
      <c r="AB41" s="35">
        <f t="shared" si="0"/>
        <v>0</v>
      </c>
      <c r="AC41" s="57"/>
    </row>
    <row r="42" spans="1:29" ht="16.5" hidden="1" thickBot="1" x14ac:dyDescent="0.3">
      <c r="A42" s="69"/>
      <c r="B42" s="61"/>
      <c r="C42" s="61"/>
      <c r="D42" s="36" t="s">
        <v>77</v>
      </c>
      <c r="E42" s="37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9"/>
      <c r="AA42" s="39"/>
      <c r="AB42" s="40">
        <f t="shared" si="0"/>
        <v>0</v>
      </c>
      <c r="AC42" s="58"/>
    </row>
    <row r="43" spans="1:29" hidden="1" x14ac:dyDescent="0.25">
      <c r="A43" s="67"/>
      <c r="B43" s="59">
        <v>17920549</v>
      </c>
      <c r="C43" s="59" t="s">
        <v>74</v>
      </c>
      <c r="D43" s="25" t="s">
        <v>75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28"/>
      <c r="U43" s="28"/>
      <c r="V43" s="27"/>
      <c r="W43" s="28"/>
      <c r="X43" s="28"/>
      <c r="Y43" s="27"/>
      <c r="Z43" s="42"/>
      <c r="AA43" s="42"/>
      <c r="AB43" s="30">
        <f t="shared" si="0"/>
        <v>0</v>
      </c>
      <c r="AC43" s="56">
        <f t="shared" ref="AC43" si="23">IFERROR((AB43-(AB43-AB45))/AB43,0)</f>
        <v>0</v>
      </c>
    </row>
    <row r="44" spans="1:29" hidden="1" x14ac:dyDescent="0.25">
      <c r="A44" s="68"/>
      <c r="B44" s="60"/>
      <c r="C44" s="60"/>
      <c r="D44" s="31" t="s">
        <v>83</v>
      </c>
      <c r="E44" s="32">
        <f t="shared" ref="E44:AA44" si="24">E43-E45</f>
        <v>0</v>
      </c>
      <c r="F44" s="33">
        <f t="shared" si="24"/>
        <v>0</v>
      </c>
      <c r="G44" s="33">
        <f t="shared" si="24"/>
        <v>0</v>
      </c>
      <c r="H44" s="33">
        <f t="shared" si="24"/>
        <v>0</v>
      </c>
      <c r="I44" s="33">
        <f t="shared" si="24"/>
        <v>0</v>
      </c>
      <c r="J44" s="33">
        <f t="shared" si="24"/>
        <v>0</v>
      </c>
      <c r="K44" s="33">
        <f t="shared" si="24"/>
        <v>0</v>
      </c>
      <c r="L44" s="33">
        <f t="shared" si="24"/>
        <v>0</v>
      </c>
      <c r="M44" s="33">
        <f t="shared" si="24"/>
        <v>0</v>
      </c>
      <c r="N44" s="33">
        <f t="shared" si="24"/>
        <v>0</v>
      </c>
      <c r="O44" s="33">
        <f t="shared" si="24"/>
        <v>0</v>
      </c>
      <c r="P44" s="33">
        <f t="shared" si="24"/>
        <v>0</v>
      </c>
      <c r="Q44" s="33">
        <f t="shared" si="24"/>
        <v>0</v>
      </c>
      <c r="R44" s="33">
        <f t="shared" si="24"/>
        <v>0</v>
      </c>
      <c r="S44" s="33">
        <f t="shared" si="24"/>
        <v>0</v>
      </c>
      <c r="T44" s="33">
        <f t="shared" si="24"/>
        <v>0</v>
      </c>
      <c r="U44" s="33">
        <f t="shared" si="24"/>
        <v>0</v>
      </c>
      <c r="V44" s="33">
        <f t="shared" si="24"/>
        <v>0</v>
      </c>
      <c r="W44" s="33">
        <f t="shared" si="24"/>
        <v>0</v>
      </c>
      <c r="X44" s="33">
        <f t="shared" si="24"/>
        <v>0</v>
      </c>
      <c r="Y44" s="33">
        <f t="shared" si="24"/>
        <v>0</v>
      </c>
      <c r="Z44" s="33"/>
      <c r="AA44" s="33">
        <f t="shared" si="24"/>
        <v>0</v>
      </c>
      <c r="AB44" s="35">
        <f t="shared" si="0"/>
        <v>0</v>
      </c>
      <c r="AC44" s="57"/>
    </row>
    <row r="45" spans="1:29" ht="16.5" hidden="1" thickBot="1" x14ac:dyDescent="0.3">
      <c r="A45" s="69"/>
      <c r="B45" s="61"/>
      <c r="C45" s="61"/>
      <c r="D45" s="36" t="s">
        <v>77</v>
      </c>
      <c r="E45" s="37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9"/>
      <c r="AA45" s="39"/>
      <c r="AB45" s="40">
        <f t="shared" si="0"/>
        <v>0</v>
      </c>
      <c r="AC45" s="58"/>
    </row>
    <row r="46" spans="1:29" ht="15" hidden="1" customHeight="1" x14ac:dyDescent="0.25">
      <c r="A46" s="67"/>
      <c r="B46" s="59">
        <v>24272425</v>
      </c>
      <c r="C46" s="59" t="s">
        <v>79</v>
      </c>
      <c r="D46" s="25" t="s">
        <v>75</v>
      </c>
      <c r="E46" s="41"/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7"/>
      <c r="S46" s="28"/>
      <c r="T46" s="28"/>
      <c r="U46" s="28"/>
      <c r="V46" s="27"/>
      <c r="W46" s="28"/>
      <c r="X46" s="28"/>
      <c r="Y46" s="27"/>
      <c r="Z46" s="42"/>
      <c r="AA46" s="42"/>
      <c r="AB46" s="30">
        <f t="shared" si="0"/>
        <v>0</v>
      </c>
      <c r="AC46" s="56">
        <f t="shared" ref="AC46" si="25">IFERROR((AB46-(AB46-AB48))/AB46,0)</f>
        <v>0</v>
      </c>
    </row>
    <row r="47" spans="1:29" hidden="1" x14ac:dyDescent="0.25">
      <c r="A47" s="68"/>
      <c r="B47" s="60"/>
      <c r="C47" s="60"/>
      <c r="D47" s="31" t="s">
        <v>83</v>
      </c>
      <c r="E47" s="32">
        <f t="shared" ref="E47:AA47" si="26">E46-E48</f>
        <v>0</v>
      </c>
      <c r="F47" s="33">
        <f t="shared" si="26"/>
        <v>0</v>
      </c>
      <c r="G47" s="33">
        <f t="shared" si="26"/>
        <v>0</v>
      </c>
      <c r="H47" s="33">
        <f t="shared" si="26"/>
        <v>0</v>
      </c>
      <c r="I47" s="33">
        <f t="shared" si="26"/>
        <v>0</v>
      </c>
      <c r="J47" s="33">
        <f t="shared" si="26"/>
        <v>0</v>
      </c>
      <c r="K47" s="33">
        <f t="shared" si="26"/>
        <v>0</v>
      </c>
      <c r="L47" s="33">
        <f t="shared" si="26"/>
        <v>0</v>
      </c>
      <c r="M47" s="33">
        <f t="shared" si="26"/>
        <v>0</v>
      </c>
      <c r="N47" s="33">
        <f t="shared" si="26"/>
        <v>0</v>
      </c>
      <c r="O47" s="33">
        <f t="shared" si="26"/>
        <v>0</v>
      </c>
      <c r="P47" s="33">
        <f t="shared" si="26"/>
        <v>0</v>
      </c>
      <c r="Q47" s="33">
        <f t="shared" si="26"/>
        <v>0</v>
      </c>
      <c r="R47" s="33">
        <f t="shared" si="26"/>
        <v>0</v>
      </c>
      <c r="S47" s="33">
        <f t="shared" si="26"/>
        <v>0</v>
      </c>
      <c r="T47" s="33">
        <f t="shared" si="26"/>
        <v>0</v>
      </c>
      <c r="U47" s="33">
        <f t="shared" si="26"/>
        <v>0</v>
      </c>
      <c r="V47" s="33">
        <f t="shared" si="26"/>
        <v>0</v>
      </c>
      <c r="W47" s="33">
        <f t="shared" si="26"/>
        <v>0</v>
      </c>
      <c r="X47" s="33">
        <f t="shared" si="26"/>
        <v>0</v>
      </c>
      <c r="Y47" s="33">
        <f t="shared" si="26"/>
        <v>0</v>
      </c>
      <c r="Z47" s="33"/>
      <c r="AA47" s="33">
        <f t="shared" si="26"/>
        <v>0</v>
      </c>
      <c r="AB47" s="35">
        <f t="shared" si="0"/>
        <v>0</v>
      </c>
      <c r="AC47" s="57"/>
    </row>
    <row r="48" spans="1:29" ht="16.5" hidden="1" thickBot="1" x14ac:dyDescent="0.3">
      <c r="A48" s="69"/>
      <c r="B48" s="61"/>
      <c r="C48" s="61"/>
      <c r="D48" s="36" t="s">
        <v>77</v>
      </c>
      <c r="E48" s="37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9"/>
      <c r="AA48" s="39"/>
      <c r="AB48" s="40">
        <f t="shared" si="0"/>
        <v>0</v>
      </c>
      <c r="AC48" s="58"/>
    </row>
    <row r="49" spans="1:29" hidden="1" x14ac:dyDescent="0.25">
      <c r="A49" s="67"/>
      <c r="B49" s="59">
        <v>18555906</v>
      </c>
      <c r="C49" s="59" t="s">
        <v>74</v>
      </c>
      <c r="D49" s="25" t="s">
        <v>75</v>
      </c>
      <c r="E49" s="41"/>
      <c r="F49" s="41"/>
      <c r="G49" s="28"/>
      <c r="H49" s="28"/>
      <c r="I49" s="28"/>
      <c r="J49" s="27"/>
      <c r="K49" s="27"/>
      <c r="L49" s="28"/>
      <c r="M49" s="28"/>
      <c r="N49" s="28"/>
      <c r="O49" s="28"/>
      <c r="P49" s="28"/>
      <c r="Q49" s="28"/>
      <c r="R49" s="27"/>
      <c r="S49" s="27"/>
      <c r="T49" s="28"/>
      <c r="U49" s="28"/>
      <c r="V49" s="27"/>
      <c r="W49" s="28"/>
      <c r="X49" s="28"/>
      <c r="Y49" s="27"/>
      <c r="Z49" s="42"/>
      <c r="AA49" s="42"/>
      <c r="AB49" s="30">
        <f t="shared" si="0"/>
        <v>0</v>
      </c>
      <c r="AC49" s="56">
        <f t="shared" ref="AC49" si="27">IFERROR((AB49-(AB49-AB51))/AB49,0)</f>
        <v>0</v>
      </c>
    </row>
    <row r="50" spans="1:29" hidden="1" x14ac:dyDescent="0.25">
      <c r="A50" s="68"/>
      <c r="B50" s="60"/>
      <c r="C50" s="60"/>
      <c r="D50" s="31" t="s">
        <v>83</v>
      </c>
      <c r="E50" s="32">
        <f t="shared" ref="E50:AA50" si="28">E49-E51</f>
        <v>0</v>
      </c>
      <c r="F50" s="33">
        <f t="shared" si="28"/>
        <v>0</v>
      </c>
      <c r="G50" s="33">
        <f t="shared" si="28"/>
        <v>0</v>
      </c>
      <c r="H50" s="33">
        <f t="shared" si="28"/>
        <v>0</v>
      </c>
      <c r="I50" s="33">
        <f t="shared" si="28"/>
        <v>0</v>
      </c>
      <c r="J50" s="33">
        <f t="shared" si="28"/>
        <v>0</v>
      </c>
      <c r="K50" s="33">
        <f t="shared" si="28"/>
        <v>0</v>
      </c>
      <c r="L50" s="33">
        <f t="shared" si="28"/>
        <v>0</v>
      </c>
      <c r="M50" s="33">
        <f t="shared" si="28"/>
        <v>0</v>
      </c>
      <c r="N50" s="33">
        <f t="shared" si="28"/>
        <v>0</v>
      </c>
      <c r="O50" s="33">
        <f t="shared" si="28"/>
        <v>0</v>
      </c>
      <c r="P50" s="33">
        <f t="shared" si="28"/>
        <v>0</v>
      </c>
      <c r="Q50" s="33">
        <f t="shared" si="28"/>
        <v>0</v>
      </c>
      <c r="R50" s="33">
        <f t="shared" si="28"/>
        <v>0</v>
      </c>
      <c r="S50" s="33">
        <f t="shared" si="28"/>
        <v>0</v>
      </c>
      <c r="T50" s="33">
        <f t="shared" si="28"/>
        <v>0</v>
      </c>
      <c r="U50" s="33">
        <f t="shared" si="28"/>
        <v>0</v>
      </c>
      <c r="V50" s="33">
        <f t="shared" si="28"/>
        <v>0</v>
      </c>
      <c r="W50" s="33">
        <f t="shared" si="28"/>
        <v>0</v>
      </c>
      <c r="X50" s="33">
        <f t="shared" si="28"/>
        <v>0</v>
      </c>
      <c r="Y50" s="33">
        <f t="shared" si="28"/>
        <v>0</v>
      </c>
      <c r="Z50" s="33"/>
      <c r="AA50" s="33">
        <f t="shared" si="28"/>
        <v>0</v>
      </c>
      <c r="AB50" s="35">
        <f t="shared" si="0"/>
        <v>0</v>
      </c>
      <c r="AC50" s="57"/>
    </row>
    <row r="51" spans="1:29" ht="16.5" hidden="1" thickBot="1" x14ac:dyDescent="0.3">
      <c r="A51" s="69"/>
      <c r="B51" s="61"/>
      <c r="C51" s="61"/>
      <c r="D51" s="36" t="s">
        <v>77</v>
      </c>
      <c r="E51" s="37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9"/>
      <c r="AA51" s="39"/>
      <c r="AB51" s="40">
        <f t="shared" si="0"/>
        <v>0</v>
      </c>
      <c r="AC51" s="58"/>
    </row>
    <row r="52" spans="1:29" hidden="1" x14ac:dyDescent="0.25">
      <c r="A52" s="67"/>
      <c r="B52" s="59">
        <v>14322082</v>
      </c>
      <c r="C52" s="59" t="s">
        <v>74</v>
      </c>
      <c r="D52" s="25" t="s">
        <v>75</v>
      </c>
      <c r="E52" s="41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9"/>
      <c r="R52" s="28"/>
      <c r="S52" s="28"/>
      <c r="T52" s="28"/>
      <c r="U52" s="28"/>
      <c r="V52" s="27"/>
      <c r="W52" s="28"/>
      <c r="X52" s="28"/>
      <c r="Y52" s="27"/>
      <c r="Z52" s="42"/>
      <c r="AA52" s="42"/>
      <c r="AB52" s="30">
        <f t="shared" si="0"/>
        <v>0</v>
      </c>
      <c r="AC52" s="56">
        <f t="shared" ref="AC52" si="29">IFERROR((AB52-(AB52-AB54))/AB52,0)</f>
        <v>0</v>
      </c>
    </row>
    <row r="53" spans="1:29" hidden="1" x14ac:dyDescent="0.25">
      <c r="A53" s="68"/>
      <c r="B53" s="60"/>
      <c r="C53" s="60"/>
      <c r="D53" s="31" t="s">
        <v>76</v>
      </c>
      <c r="E53" s="32">
        <f t="shared" ref="E53:AA53" si="30">E52-E54</f>
        <v>0</v>
      </c>
      <c r="F53" s="33">
        <f t="shared" si="30"/>
        <v>0</v>
      </c>
      <c r="G53" s="33">
        <f t="shared" si="30"/>
        <v>0</v>
      </c>
      <c r="H53" s="33">
        <f t="shared" si="30"/>
        <v>0</v>
      </c>
      <c r="I53" s="33">
        <f t="shared" si="30"/>
        <v>0</v>
      </c>
      <c r="J53" s="33">
        <f t="shared" si="30"/>
        <v>0</v>
      </c>
      <c r="K53" s="33">
        <f t="shared" si="30"/>
        <v>0</v>
      </c>
      <c r="L53" s="33">
        <f t="shared" si="30"/>
        <v>0</v>
      </c>
      <c r="M53" s="33">
        <f t="shared" si="30"/>
        <v>0</v>
      </c>
      <c r="N53" s="33">
        <f t="shared" si="30"/>
        <v>0</v>
      </c>
      <c r="O53" s="33">
        <f t="shared" si="30"/>
        <v>0</v>
      </c>
      <c r="P53" s="33">
        <f t="shared" si="30"/>
        <v>0</v>
      </c>
      <c r="Q53" s="33">
        <f t="shared" si="30"/>
        <v>0</v>
      </c>
      <c r="R53" s="33">
        <f t="shared" si="30"/>
        <v>0</v>
      </c>
      <c r="S53" s="33">
        <f t="shared" si="30"/>
        <v>0</v>
      </c>
      <c r="T53" s="33">
        <f t="shared" si="30"/>
        <v>0</v>
      </c>
      <c r="U53" s="33">
        <f t="shared" si="30"/>
        <v>0</v>
      </c>
      <c r="V53" s="33">
        <f t="shared" si="30"/>
        <v>0</v>
      </c>
      <c r="W53" s="33">
        <f t="shared" si="30"/>
        <v>0</v>
      </c>
      <c r="X53" s="33">
        <f t="shared" si="30"/>
        <v>0</v>
      </c>
      <c r="Y53" s="33">
        <f t="shared" si="30"/>
        <v>0</v>
      </c>
      <c r="Z53" s="33"/>
      <c r="AA53" s="33">
        <f t="shared" si="30"/>
        <v>0</v>
      </c>
      <c r="AB53" s="35">
        <f t="shared" si="0"/>
        <v>0</v>
      </c>
      <c r="AC53" s="57"/>
    </row>
    <row r="54" spans="1:29" ht="16.5" hidden="1" thickBot="1" x14ac:dyDescent="0.3">
      <c r="A54" s="69"/>
      <c r="B54" s="61"/>
      <c r="C54" s="61"/>
      <c r="D54" s="36" t="s">
        <v>77</v>
      </c>
      <c r="E54" s="37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9"/>
      <c r="AA54" s="39"/>
      <c r="AB54" s="40">
        <f t="shared" si="0"/>
        <v>0</v>
      </c>
      <c r="AC54" s="58"/>
    </row>
    <row r="55" spans="1:29" hidden="1" x14ac:dyDescent="0.25">
      <c r="A55" s="67"/>
      <c r="B55" s="59">
        <v>23107025</v>
      </c>
      <c r="C55" s="59" t="s">
        <v>74</v>
      </c>
      <c r="D55" s="25" t="s">
        <v>75</v>
      </c>
      <c r="E55" s="41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7"/>
      <c r="W55" s="28"/>
      <c r="X55" s="28"/>
      <c r="Y55" s="27"/>
      <c r="Z55" s="42"/>
      <c r="AA55" s="42"/>
      <c r="AB55" s="30">
        <f t="shared" si="0"/>
        <v>0</v>
      </c>
      <c r="AC55" s="56">
        <f t="shared" ref="AC55" si="31">IFERROR((AB55-(AB55-AB57))/AB55,0)</f>
        <v>0</v>
      </c>
    </row>
    <row r="56" spans="1:29" hidden="1" x14ac:dyDescent="0.25">
      <c r="A56" s="68"/>
      <c r="B56" s="60"/>
      <c r="C56" s="60"/>
      <c r="D56" s="31" t="s">
        <v>76</v>
      </c>
      <c r="E56" s="32">
        <f t="shared" ref="E56:AA56" si="32">E55-E57</f>
        <v>0</v>
      </c>
      <c r="F56" s="33">
        <f t="shared" si="32"/>
        <v>0</v>
      </c>
      <c r="G56" s="33">
        <f t="shared" si="32"/>
        <v>0</v>
      </c>
      <c r="H56" s="33">
        <f t="shared" si="32"/>
        <v>0</v>
      </c>
      <c r="I56" s="33">
        <f t="shared" si="32"/>
        <v>0</v>
      </c>
      <c r="J56" s="33">
        <f t="shared" si="32"/>
        <v>0</v>
      </c>
      <c r="K56" s="33">
        <f t="shared" si="32"/>
        <v>0</v>
      </c>
      <c r="L56" s="33">
        <f t="shared" si="32"/>
        <v>0</v>
      </c>
      <c r="M56" s="33">
        <f t="shared" si="32"/>
        <v>0</v>
      </c>
      <c r="N56" s="33">
        <f t="shared" si="32"/>
        <v>0</v>
      </c>
      <c r="O56" s="33">
        <f t="shared" si="32"/>
        <v>0</v>
      </c>
      <c r="P56" s="33">
        <f t="shared" si="32"/>
        <v>0</v>
      </c>
      <c r="Q56" s="33">
        <f t="shared" si="32"/>
        <v>0</v>
      </c>
      <c r="R56" s="33">
        <f t="shared" si="32"/>
        <v>0</v>
      </c>
      <c r="S56" s="33">
        <f t="shared" si="32"/>
        <v>0</v>
      </c>
      <c r="T56" s="33">
        <f t="shared" si="32"/>
        <v>0</v>
      </c>
      <c r="U56" s="33">
        <f t="shared" si="32"/>
        <v>0</v>
      </c>
      <c r="V56" s="33">
        <f t="shared" si="32"/>
        <v>0</v>
      </c>
      <c r="W56" s="33">
        <f t="shared" si="32"/>
        <v>0</v>
      </c>
      <c r="X56" s="33">
        <f t="shared" si="32"/>
        <v>0</v>
      </c>
      <c r="Y56" s="33">
        <f t="shared" si="32"/>
        <v>0</v>
      </c>
      <c r="Z56" s="33"/>
      <c r="AA56" s="33">
        <f t="shared" si="32"/>
        <v>0</v>
      </c>
      <c r="AB56" s="35">
        <f t="shared" si="0"/>
        <v>0</v>
      </c>
      <c r="AC56" s="57"/>
    </row>
    <row r="57" spans="1:29" ht="16.5" hidden="1" thickBot="1" x14ac:dyDescent="0.3">
      <c r="A57" s="69"/>
      <c r="B57" s="61"/>
      <c r="C57" s="61"/>
      <c r="D57" s="36" t="s">
        <v>77</v>
      </c>
      <c r="E57" s="37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9"/>
      <c r="AA57" s="39"/>
      <c r="AB57" s="40">
        <f t="shared" si="0"/>
        <v>0</v>
      </c>
      <c r="AC57" s="58"/>
    </row>
    <row r="58" spans="1:29" hidden="1" x14ac:dyDescent="0.25">
      <c r="A58" s="67"/>
      <c r="B58" s="59">
        <v>25253111</v>
      </c>
      <c r="C58" s="59" t="s">
        <v>78</v>
      </c>
      <c r="D58" s="25" t="s">
        <v>75</v>
      </c>
      <c r="E58" s="41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7"/>
      <c r="S58" s="28"/>
      <c r="T58" s="28"/>
      <c r="U58" s="28"/>
      <c r="V58" s="27"/>
      <c r="W58" s="28"/>
      <c r="X58" s="28"/>
      <c r="Y58" s="27"/>
      <c r="Z58" s="42"/>
      <c r="AA58" s="42"/>
      <c r="AB58" s="30">
        <f t="shared" si="0"/>
        <v>0</v>
      </c>
      <c r="AC58" s="56">
        <f t="shared" ref="AC58" si="33">IFERROR((AB58-(AB58-AB60))/AB58,0)</f>
        <v>0</v>
      </c>
    </row>
    <row r="59" spans="1:29" hidden="1" x14ac:dyDescent="0.25">
      <c r="A59" s="68"/>
      <c r="B59" s="60"/>
      <c r="C59" s="60"/>
      <c r="D59" s="31" t="s">
        <v>76</v>
      </c>
      <c r="E59" s="32">
        <f t="shared" ref="E59:AA59" si="34">E58-E60</f>
        <v>0</v>
      </c>
      <c r="F59" s="33">
        <f t="shared" si="34"/>
        <v>0</v>
      </c>
      <c r="G59" s="33">
        <f t="shared" si="34"/>
        <v>0</v>
      </c>
      <c r="H59" s="33">
        <f t="shared" si="34"/>
        <v>0</v>
      </c>
      <c r="I59" s="33">
        <f t="shared" si="34"/>
        <v>0</v>
      </c>
      <c r="J59" s="33">
        <f t="shared" si="34"/>
        <v>0</v>
      </c>
      <c r="K59" s="33">
        <f t="shared" si="34"/>
        <v>0</v>
      </c>
      <c r="L59" s="33">
        <f t="shared" si="34"/>
        <v>0</v>
      </c>
      <c r="M59" s="33">
        <f t="shared" si="34"/>
        <v>0</v>
      </c>
      <c r="N59" s="33">
        <f t="shared" si="34"/>
        <v>0</v>
      </c>
      <c r="O59" s="33">
        <f t="shared" si="34"/>
        <v>0</v>
      </c>
      <c r="P59" s="33">
        <f t="shared" si="34"/>
        <v>0</v>
      </c>
      <c r="Q59" s="33">
        <f t="shared" si="34"/>
        <v>0</v>
      </c>
      <c r="R59" s="33">
        <f t="shared" si="34"/>
        <v>0</v>
      </c>
      <c r="S59" s="33">
        <f t="shared" si="34"/>
        <v>0</v>
      </c>
      <c r="T59" s="33">
        <f t="shared" si="34"/>
        <v>0</v>
      </c>
      <c r="U59" s="33">
        <f t="shared" si="34"/>
        <v>0</v>
      </c>
      <c r="V59" s="33">
        <f t="shared" si="34"/>
        <v>0</v>
      </c>
      <c r="W59" s="33">
        <f t="shared" si="34"/>
        <v>0</v>
      </c>
      <c r="X59" s="33">
        <f t="shared" si="34"/>
        <v>0</v>
      </c>
      <c r="Y59" s="33">
        <f t="shared" si="34"/>
        <v>0</v>
      </c>
      <c r="Z59" s="33"/>
      <c r="AA59" s="33">
        <f t="shared" si="34"/>
        <v>0</v>
      </c>
      <c r="AB59" s="35">
        <f t="shared" si="0"/>
        <v>0</v>
      </c>
      <c r="AC59" s="57"/>
    </row>
    <row r="60" spans="1:29" ht="16.5" hidden="1" thickBot="1" x14ac:dyDescent="0.3">
      <c r="A60" s="69"/>
      <c r="B60" s="61"/>
      <c r="C60" s="61"/>
      <c r="D60" s="36" t="s">
        <v>77</v>
      </c>
      <c r="E60" s="37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9"/>
      <c r="AA60" s="39"/>
      <c r="AB60" s="40">
        <f t="shared" si="0"/>
        <v>0</v>
      </c>
      <c r="AC60" s="58"/>
    </row>
    <row r="61" spans="1:29" hidden="1" x14ac:dyDescent="0.25">
      <c r="A61" s="67"/>
      <c r="B61" s="59">
        <v>28416086</v>
      </c>
      <c r="C61" s="59"/>
      <c r="D61" s="25" t="s">
        <v>75</v>
      </c>
      <c r="E61" s="41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7"/>
      <c r="W61" s="28"/>
      <c r="X61" s="28"/>
      <c r="Y61" s="27"/>
      <c r="Z61" s="42"/>
      <c r="AA61" s="42"/>
      <c r="AB61" s="30">
        <f t="shared" si="0"/>
        <v>0</v>
      </c>
      <c r="AC61" s="56">
        <f t="shared" ref="AC61" si="35">IFERROR((AB61-(AB61-AB63))/AB61,0)</f>
        <v>0</v>
      </c>
    </row>
    <row r="62" spans="1:29" hidden="1" x14ac:dyDescent="0.25">
      <c r="A62" s="68"/>
      <c r="B62" s="60"/>
      <c r="C62" s="60"/>
      <c r="D62" s="31" t="s">
        <v>76</v>
      </c>
      <c r="E62" s="32">
        <f t="shared" ref="E62:AA62" si="36">E61-E63</f>
        <v>0</v>
      </c>
      <c r="F62" s="33">
        <f t="shared" si="36"/>
        <v>0</v>
      </c>
      <c r="G62" s="33">
        <f t="shared" si="36"/>
        <v>0</v>
      </c>
      <c r="H62" s="33">
        <f t="shared" si="36"/>
        <v>0</v>
      </c>
      <c r="I62" s="33">
        <f t="shared" si="36"/>
        <v>0</v>
      </c>
      <c r="J62" s="33">
        <f t="shared" si="36"/>
        <v>0</v>
      </c>
      <c r="K62" s="33">
        <f t="shared" si="36"/>
        <v>0</v>
      </c>
      <c r="L62" s="33">
        <f t="shared" si="36"/>
        <v>0</v>
      </c>
      <c r="M62" s="33">
        <f t="shared" si="36"/>
        <v>0</v>
      </c>
      <c r="N62" s="33">
        <f t="shared" si="36"/>
        <v>0</v>
      </c>
      <c r="O62" s="33">
        <f t="shared" si="36"/>
        <v>0</v>
      </c>
      <c r="P62" s="33">
        <f t="shared" si="36"/>
        <v>0</v>
      </c>
      <c r="Q62" s="33">
        <f t="shared" si="36"/>
        <v>0</v>
      </c>
      <c r="R62" s="33">
        <f t="shared" si="36"/>
        <v>0</v>
      </c>
      <c r="S62" s="33">
        <f t="shared" si="36"/>
        <v>0</v>
      </c>
      <c r="T62" s="33">
        <f t="shared" si="36"/>
        <v>0</v>
      </c>
      <c r="U62" s="33">
        <f t="shared" si="36"/>
        <v>0</v>
      </c>
      <c r="V62" s="33">
        <f t="shared" si="36"/>
        <v>0</v>
      </c>
      <c r="W62" s="33">
        <f t="shared" si="36"/>
        <v>0</v>
      </c>
      <c r="X62" s="33">
        <f t="shared" si="36"/>
        <v>0</v>
      </c>
      <c r="Y62" s="33">
        <f t="shared" si="36"/>
        <v>0</v>
      </c>
      <c r="Z62" s="33"/>
      <c r="AA62" s="33">
        <f t="shared" si="36"/>
        <v>0</v>
      </c>
      <c r="AB62" s="35">
        <f t="shared" si="0"/>
        <v>0</v>
      </c>
      <c r="AC62" s="57"/>
    </row>
    <row r="63" spans="1:29" ht="16.5" hidden="1" thickBot="1" x14ac:dyDescent="0.3">
      <c r="A63" s="69"/>
      <c r="B63" s="61"/>
      <c r="C63" s="61"/>
      <c r="D63" s="36" t="s">
        <v>77</v>
      </c>
      <c r="E63" s="37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9"/>
      <c r="AA63" s="39"/>
      <c r="AB63" s="40">
        <f t="shared" si="0"/>
        <v>0</v>
      </c>
      <c r="AC63" s="58"/>
    </row>
    <row r="64" spans="1:29" hidden="1" x14ac:dyDescent="0.25">
      <c r="A64" s="67"/>
      <c r="B64" s="59">
        <v>19354092</v>
      </c>
      <c r="C64" s="59" t="s">
        <v>79</v>
      </c>
      <c r="D64" s="25" t="s">
        <v>75</v>
      </c>
      <c r="E64" s="41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7"/>
      <c r="W64" s="28"/>
      <c r="X64" s="28"/>
      <c r="Y64" s="27"/>
      <c r="Z64" s="42"/>
      <c r="AA64" s="42"/>
      <c r="AB64" s="30">
        <f t="shared" si="0"/>
        <v>0</v>
      </c>
      <c r="AC64" s="56">
        <f t="shared" ref="AC64" si="37">IFERROR((AB64-(AB64-AB66))/AB64,0)</f>
        <v>0</v>
      </c>
    </row>
    <row r="65" spans="1:29" hidden="1" x14ac:dyDescent="0.25">
      <c r="A65" s="68"/>
      <c r="B65" s="60"/>
      <c r="C65" s="60"/>
      <c r="D65" s="31" t="s">
        <v>76</v>
      </c>
      <c r="E65" s="32">
        <f t="shared" ref="E65:AA65" si="38">E64-E66</f>
        <v>0</v>
      </c>
      <c r="F65" s="33">
        <f t="shared" si="38"/>
        <v>0</v>
      </c>
      <c r="G65" s="33">
        <f t="shared" si="38"/>
        <v>0</v>
      </c>
      <c r="H65" s="33">
        <f t="shared" si="38"/>
        <v>0</v>
      </c>
      <c r="I65" s="33">
        <f t="shared" si="38"/>
        <v>0</v>
      </c>
      <c r="J65" s="33">
        <f t="shared" si="38"/>
        <v>0</v>
      </c>
      <c r="K65" s="33">
        <f t="shared" si="38"/>
        <v>0</v>
      </c>
      <c r="L65" s="33">
        <f t="shared" si="38"/>
        <v>0</v>
      </c>
      <c r="M65" s="33">
        <f t="shared" si="38"/>
        <v>0</v>
      </c>
      <c r="N65" s="33">
        <f t="shared" si="38"/>
        <v>0</v>
      </c>
      <c r="O65" s="33">
        <f t="shared" si="38"/>
        <v>0</v>
      </c>
      <c r="P65" s="33">
        <f t="shared" si="38"/>
        <v>0</v>
      </c>
      <c r="Q65" s="33">
        <f t="shared" si="38"/>
        <v>0</v>
      </c>
      <c r="R65" s="33">
        <f t="shared" si="38"/>
        <v>0</v>
      </c>
      <c r="S65" s="33">
        <f t="shared" si="38"/>
        <v>0</v>
      </c>
      <c r="T65" s="33">
        <f t="shared" si="38"/>
        <v>0</v>
      </c>
      <c r="U65" s="33">
        <f t="shared" si="38"/>
        <v>0</v>
      </c>
      <c r="V65" s="33">
        <f t="shared" si="38"/>
        <v>0</v>
      </c>
      <c r="W65" s="33">
        <f t="shared" si="38"/>
        <v>0</v>
      </c>
      <c r="X65" s="33">
        <f t="shared" si="38"/>
        <v>0</v>
      </c>
      <c r="Y65" s="33">
        <f t="shared" si="38"/>
        <v>0</v>
      </c>
      <c r="Z65" s="33"/>
      <c r="AA65" s="33">
        <f t="shared" si="38"/>
        <v>0</v>
      </c>
      <c r="AB65" s="35">
        <f t="shared" si="0"/>
        <v>0</v>
      </c>
      <c r="AC65" s="57"/>
    </row>
    <row r="66" spans="1:29" ht="16.5" hidden="1" thickBot="1" x14ac:dyDescent="0.3">
      <c r="A66" s="69"/>
      <c r="B66" s="61"/>
      <c r="C66" s="61"/>
      <c r="D66" s="36" t="s">
        <v>77</v>
      </c>
      <c r="E66" s="37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9"/>
      <c r="AA66" s="39"/>
      <c r="AB66" s="40">
        <f t="shared" si="0"/>
        <v>0</v>
      </c>
      <c r="AC66" s="58"/>
    </row>
    <row r="67" spans="1:29" hidden="1" x14ac:dyDescent="0.25">
      <c r="A67" s="67"/>
      <c r="B67" s="59">
        <v>15007270</v>
      </c>
      <c r="C67" s="59" t="s">
        <v>78</v>
      </c>
      <c r="D67" s="25" t="s">
        <v>75</v>
      </c>
      <c r="E67" s="26"/>
      <c r="F67" s="28"/>
      <c r="G67" s="28"/>
      <c r="H67" s="28"/>
      <c r="I67" s="28"/>
      <c r="J67" s="28"/>
      <c r="K67" s="29"/>
      <c r="L67" s="28"/>
      <c r="M67" s="28"/>
      <c r="N67" s="28"/>
      <c r="O67" s="28"/>
      <c r="P67" s="27"/>
      <c r="Q67" s="28"/>
      <c r="R67" s="27"/>
      <c r="S67" s="28"/>
      <c r="T67" s="28"/>
      <c r="U67" s="28"/>
      <c r="V67" s="27"/>
      <c r="W67" s="28"/>
      <c r="X67" s="28"/>
      <c r="Y67" s="27"/>
      <c r="Z67" s="42"/>
      <c r="AA67" s="42"/>
      <c r="AB67" s="30">
        <f t="shared" si="0"/>
        <v>0</v>
      </c>
      <c r="AC67" s="56">
        <f t="shared" ref="AC67" si="39">IFERROR((AB67-(AB67-AB69))/AB67,0)</f>
        <v>0</v>
      </c>
    </row>
    <row r="68" spans="1:29" hidden="1" x14ac:dyDescent="0.25">
      <c r="A68" s="68"/>
      <c r="B68" s="60"/>
      <c r="C68" s="60"/>
      <c r="D68" s="31" t="s">
        <v>76</v>
      </c>
      <c r="E68" s="32">
        <f t="shared" ref="E68:AA68" si="40">E67-E69</f>
        <v>0</v>
      </c>
      <c r="F68" s="33">
        <f t="shared" si="40"/>
        <v>0</v>
      </c>
      <c r="G68" s="33">
        <f t="shared" si="40"/>
        <v>0</v>
      </c>
      <c r="H68" s="33">
        <f t="shared" si="40"/>
        <v>0</v>
      </c>
      <c r="I68" s="33">
        <f t="shared" si="40"/>
        <v>0</v>
      </c>
      <c r="J68" s="33">
        <f t="shared" si="40"/>
        <v>0</v>
      </c>
      <c r="K68" s="33">
        <f t="shared" si="40"/>
        <v>0</v>
      </c>
      <c r="L68" s="33">
        <f t="shared" si="40"/>
        <v>0</v>
      </c>
      <c r="M68" s="33">
        <f t="shared" si="40"/>
        <v>0</v>
      </c>
      <c r="N68" s="33">
        <f t="shared" si="40"/>
        <v>0</v>
      </c>
      <c r="O68" s="33">
        <f t="shared" si="40"/>
        <v>0</v>
      </c>
      <c r="P68" s="33">
        <f t="shared" si="40"/>
        <v>0</v>
      </c>
      <c r="Q68" s="33">
        <f t="shared" si="40"/>
        <v>0</v>
      </c>
      <c r="R68" s="33">
        <f t="shared" si="40"/>
        <v>0</v>
      </c>
      <c r="S68" s="33">
        <f t="shared" si="40"/>
        <v>0</v>
      </c>
      <c r="T68" s="33">
        <f t="shared" si="40"/>
        <v>0</v>
      </c>
      <c r="U68" s="33">
        <f t="shared" si="40"/>
        <v>0</v>
      </c>
      <c r="V68" s="33">
        <f t="shared" si="40"/>
        <v>0</v>
      </c>
      <c r="W68" s="33">
        <f t="shared" si="40"/>
        <v>0</v>
      </c>
      <c r="X68" s="33">
        <f t="shared" si="40"/>
        <v>0</v>
      </c>
      <c r="Y68" s="33">
        <f t="shared" si="40"/>
        <v>0</v>
      </c>
      <c r="Z68" s="33"/>
      <c r="AA68" s="33">
        <f t="shared" si="40"/>
        <v>0</v>
      </c>
      <c r="AB68" s="35">
        <f t="shared" si="0"/>
        <v>0</v>
      </c>
      <c r="AC68" s="57"/>
    </row>
    <row r="69" spans="1:29" ht="16.5" hidden="1" thickBot="1" x14ac:dyDescent="0.3">
      <c r="A69" s="69"/>
      <c r="B69" s="61"/>
      <c r="C69" s="61"/>
      <c r="D69" s="36" t="s">
        <v>77</v>
      </c>
      <c r="E69" s="37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9"/>
      <c r="AA69" s="39"/>
      <c r="AB69" s="40">
        <f t="shared" si="0"/>
        <v>0</v>
      </c>
      <c r="AC69" s="58"/>
    </row>
    <row r="70" spans="1:29" hidden="1" x14ac:dyDescent="0.25">
      <c r="A70" s="67"/>
      <c r="B70" s="59">
        <v>15374989</v>
      </c>
      <c r="C70" s="59" t="s">
        <v>78</v>
      </c>
      <c r="D70" s="25" t="s">
        <v>75</v>
      </c>
      <c r="E70" s="41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7"/>
      <c r="W70" s="28"/>
      <c r="X70" s="28"/>
      <c r="Y70" s="27"/>
      <c r="Z70" s="42"/>
      <c r="AA70" s="42"/>
      <c r="AB70" s="30">
        <f t="shared" si="0"/>
        <v>0</v>
      </c>
      <c r="AC70" s="56">
        <f t="shared" ref="AC70" si="41">IFERROR((AB70-(AB70-AB72))/AB70,0)</f>
        <v>0</v>
      </c>
    </row>
    <row r="71" spans="1:29" hidden="1" x14ac:dyDescent="0.25">
      <c r="A71" s="68"/>
      <c r="B71" s="60"/>
      <c r="C71" s="60"/>
      <c r="D71" s="31" t="s">
        <v>76</v>
      </c>
      <c r="E71" s="32">
        <f t="shared" ref="E71:AA71" si="42">E70-E72</f>
        <v>0</v>
      </c>
      <c r="F71" s="33">
        <f t="shared" si="42"/>
        <v>0</v>
      </c>
      <c r="G71" s="33">
        <f t="shared" si="42"/>
        <v>0</v>
      </c>
      <c r="H71" s="33">
        <f t="shared" si="42"/>
        <v>0</v>
      </c>
      <c r="I71" s="33">
        <f t="shared" si="42"/>
        <v>0</v>
      </c>
      <c r="J71" s="33">
        <f t="shared" si="42"/>
        <v>0</v>
      </c>
      <c r="K71" s="33">
        <f t="shared" si="42"/>
        <v>0</v>
      </c>
      <c r="L71" s="33">
        <f t="shared" si="42"/>
        <v>0</v>
      </c>
      <c r="M71" s="33">
        <f t="shared" si="42"/>
        <v>0</v>
      </c>
      <c r="N71" s="33">
        <f t="shared" si="42"/>
        <v>0</v>
      </c>
      <c r="O71" s="33">
        <f t="shared" si="42"/>
        <v>0</v>
      </c>
      <c r="P71" s="33">
        <f t="shared" si="42"/>
        <v>0</v>
      </c>
      <c r="Q71" s="33">
        <f t="shared" si="42"/>
        <v>0</v>
      </c>
      <c r="R71" s="33">
        <f t="shared" si="42"/>
        <v>0</v>
      </c>
      <c r="S71" s="33">
        <f t="shared" si="42"/>
        <v>0</v>
      </c>
      <c r="T71" s="33">
        <f t="shared" si="42"/>
        <v>0</v>
      </c>
      <c r="U71" s="33">
        <f t="shared" si="42"/>
        <v>0</v>
      </c>
      <c r="V71" s="33">
        <f t="shared" si="42"/>
        <v>0</v>
      </c>
      <c r="W71" s="33">
        <f t="shared" si="42"/>
        <v>0</v>
      </c>
      <c r="X71" s="33">
        <f t="shared" si="42"/>
        <v>0</v>
      </c>
      <c r="Y71" s="33">
        <f t="shared" si="42"/>
        <v>0</v>
      </c>
      <c r="Z71" s="33"/>
      <c r="AA71" s="33">
        <f t="shared" si="42"/>
        <v>0</v>
      </c>
      <c r="AB71" s="35">
        <f t="shared" ref="AB71:AB105" si="43">SUM(E71:AA71)</f>
        <v>0</v>
      </c>
      <c r="AC71" s="57"/>
    </row>
    <row r="72" spans="1:29" ht="16.5" hidden="1" thickBot="1" x14ac:dyDescent="0.3">
      <c r="A72" s="69"/>
      <c r="B72" s="61"/>
      <c r="C72" s="61"/>
      <c r="D72" s="36" t="s">
        <v>77</v>
      </c>
      <c r="E72" s="37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9"/>
      <c r="AA72" s="39"/>
      <c r="AB72" s="40">
        <f t="shared" si="43"/>
        <v>0</v>
      </c>
      <c r="AC72" s="58"/>
    </row>
    <row r="73" spans="1:29" hidden="1" x14ac:dyDescent="0.25">
      <c r="A73" s="59"/>
      <c r="B73" s="59">
        <v>15573927</v>
      </c>
      <c r="C73" s="59" t="s">
        <v>74</v>
      </c>
      <c r="D73" s="25" t="s">
        <v>75</v>
      </c>
      <c r="E73" s="41"/>
      <c r="F73" s="28"/>
      <c r="G73" s="28"/>
      <c r="H73" s="28"/>
      <c r="I73" s="28"/>
      <c r="J73" s="28"/>
      <c r="K73" s="29"/>
      <c r="L73" s="28"/>
      <c r="M73" s="28"/>
      <c r="N73" s="28"/>
      <c r="O73" s="28"/>
      <c r="P73" s="28"/>
      <c r="Q73" s="28"/>
      <c r="R73" s="27"/>
      <c r="S73" s="27"/>
      <c r="T73" s="28"/>
      <c r="U73" s="28"/>
      <c r="V73" s="27"/>
      <c r="W73" s="28"/>
      <c r="X73" s="28"/>
      <c r="Y73" s="27"/>
      <c r="Z73" s="42"/>
      <c r="AA73" s="42"/>
      <c r="AB73" s="30">
        <f t="shared" si="43"/>
        <v>0</v>
      </c>
      <c r="AC73" s="56">
        <f t="shared" ref="AC73" si="44">IFERROR((AB73-(AB73-AB75))/AB73,0)</f>
        <v>0</v>
      </c>
    </row>
    <row r="74" spans="1:29" hidden="1" x14ac:dyDescent="0.25">
      <c r="A74" s="60"/>
      <c r="B74" s="60"/>
      <c r="C74" s="60"/>
      <c r="D74" s="31" t="s">
        <v>76</v>
      </c>
      <c r="E74" s="32">
        <f t="shared" ref="E74:AA74" si="45">E73-E75</f>
        <v>0</v>
      </c>
      <c r="F74" s="33">
        <f t="shared" si="45"/>
        <v>0</v>
      </c>
      <c r="G74" s="33">
        <f t="shared" si="45"/>
        <v>0</v>
      </c>
      <c r="H74" s="33">
        <f t="shared" si="45"/>
        <v>0</v>
      </c>
      <c r="I74" s="33">
        <f t="shared" si="45"/>
        <v>0</v>
      </c>
      <c r="J74" s="33">
        <f t="shared" si="45"/>
        <v>0</v>
      </c>
      <c r="K74" s="33">
        <f t="shared" si="45"/>
        <v>0</v>
      </c>
      <c r="L74" s="33">
        <f t="shared" si="45"/>
        <v>0</v>
      </c>
      <c r="M74" s="33">
        <f t="shared" si="45"/>
        <v>0</v>
      </c>
      <c r="N74" s="33">
        <f t="shared" si="45"/>
        <v>0</v>
      </c>
      <c r="O74" s="33">
        <f t="shared" si="45"/>
        <v>0</v>
      </c>
      <c r="P74" s="33">
        <f t="shared" si="45"/>
        <v>0</v>
      </c>
      <c r="Q74" s="33">
        <f t="shared" si="45"/>
        <v>0</v>
      </c>
      <c r="R74" s="33">
        <f t="shared" si="45"/>
        <v>0</v>
      </c>
      <c r="S74" s="33">
        <f t="shared" si="45"/>
        <v>0</v>
      </c>
      <c r="T74" s="33">
        <f t="shared" si="45"/>
        <v>0</v>
      </c>
      <c r="U74" s="33">
        <f t="shared" si="45"/>
        <v>0</v>
      </c>
      <c r="V74" s="33">
        <f t="shared" si="45"/>
        <v>0</v>
      </c>
      <c r="W74" s="33">
        <f t="shared" si="45"/>
        <v>0</v>
      </c>
      <c r="X74" s="33">
        <f t="shared" si="45"/>
        <v>0</v>
      </c>
      <c r="Y74" s="33">
        <f t="shared" si="45"/>
        <v>0</v>
      </c>
      <c r="Z74" s="33"/>
      <c r="AA74" s="33">
        <f t="shared" si="45"/>
        <v>0</v>
      </c>
      <c r="AB74" s="35">
        <f t="shared" si="43"/>
        <v>0</v>
      </c>
      <c r="AC74" s="57"/>
    </row>
    <row r="75" spans="1:29" ht="16.5" hidden="1" thickBot="1" x14ac:dyDescent="0.3">
      <c r="A75" s="61"/>
      <c r="B75" s="61"/>
      <c r="C75" s="61"/>
      <c r="D75" s="36" t="s">
        <v>77</v>
      </c>
      <c r="E75" s="37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9"/>
      <c r="AA75" s="39"/>
      <c r="AB75" s="40">
        <f t="shared" si="43"/>
        <v>0</v>
      </c>
      <c r="AC75" s="58"/>
    </row>
    <row r="76" spans="1:29" hidden="1" x14ac:dyDescent="0.25">
      <c r="A76" s="59"/>
      <c r="B76" s="59">
        <v>13823966</v>
      </c>
      <c r="C76" s="59" t="s">
        <v>79</v>
      </c>
      <c r="D76" s="25" t="s">
        <v>75</v>
      </c>
      <c r="E76" s="41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7"/>
      <c r="W76" s="28"/>
      <c r="X76" s="28"/>
      <c r="Y76" s="27"/>
      <c r="Z76" s="42"/>
      <c r="AA76" s="42"/>
      <c r="AB76" s="30">
        <f t="shared" si="43"/>
        <v>0</v>
      </c>
      <c r="AC76" s="56">
        <f t="shared" ref="AC76" si="46">IFERROR((AB76-(AB76-AB78))/AB76,0)</f>
        <v>0</v>
      </c>
    </row>
    <row r="77" spans="1:29" hidden="1" x14ac:dyDescent="0.25">
      <c r="A77" s="60"/>
      <c r="B77" s="60"/>
      <c r="C77" s="60"/>
      <c r="D77" s="31" t="s">
        <v>76</v>
      </c>
      <c r="E77" s="32">
        <f t="shared" ref="E77:AA77" si="47">E76-E78</f>
        <v>0</v>
      </c>
      <c r="F77" s="33">
        <f t="shared" si="47"/>
        <v>0</v>
      </c>
      <c r="G77" s="33">
        <f t="shared" si="47"/>
        <v>0</v>
      </c>
      <c r="H77" s="33">
        <f t="shared" si="47"/>
        <v>0</v>
      </c>
      <c r="I77" s="33">
        <f t="shared" si="47"/>
        <v>0</v>
      </c>
      <c r="J77" s="33">
        <f t="shared" si="47"/>
        <v>0</v>
      </c>
      <c r="K77" s="33">
        <f t="shared" si="47"/>
        <v>0</v>
      </c>
      <c r="L77" s="33">
        <f t="shared" si="47"/>
        <v>0</v>
      </c>
      <c r="M77" s="33">
        <f t="shared" si="47"/>
        <v>0</v>
      </c>
      <c r="N77" s="33">
        <f t="shared" si="47"/>
        <v>0</v>
      </c>
      <c r="O77" s="33">
        <f t="shared" si="47"/>
        <v>0</v>
      </c>
      <c r="P77" s="33">
        <f t="shared" si="47"/>
        <v>0</v>
      </c>
      <c r="Q77" s="33">
        <f t="shared" si="47"/>
        <v>0</v>
      </c>
      <c r="R77" s="33">
        <f t="shared" si="47"/>
        <v>0</v>
      </c>
      <c r="S77" s="33">
        <f t="shared" si="47"/>
        <v>0</v>
      </c>
      <c r="T77" s="33">
        <f t="shared" si="47"/>
        <v>0</v>
      </c>
      <c r="U77" s="33">
        <f t="shared" si="47"/>
        <v>0</v>
      </c>
      <c r="V77" s="33">
        <f t="shared" si="47"/>
        <v>0</v>
      </c>
      <c r="W77" s="33">
        <f t="shared" si="47"/>
        <v>0</v>
      </c>
      <c r="X77" s="33">
        <f t="shared" si="47"/>
        <v>0</v>
      </c>
      <c r="Y77" s="33">
        <f t="shared" si="47"/>
        <v>0</v>
      </c>
      <c r="Z77" s="33"/>
      <c r="AA77" s="33">
        <f t="shared" si="47"/>
        <v>0</v>
      </c>
      <c r="AB77" s="35">
        <f t="shared" si="43"/>
        <v>0</v>
      </c>
      <c r="AC77" s="57"/>
    </row>
    <row r="78" spans="1:29" ht="16.5" hidden="1" thickBot="1" x14ac:dyDescent="0.3">
      <c r="A78" s="61"/>
      <c r="B78" s="61"/>
      <c r="C78" s="61"/>
      <c r="D78" s="36" t="s">
        <v>77</v>
      </c>
      <c r="E78" s="37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9"/>
      <c r="AA78" s="39"/>
      <c r="AB78" s="40">
        <f t="shared" si="43"/>
        <v>0</v>
      </c>
      <c r="AC78" s="58"/>
    </row>
    <row r="79" spans="1:29" hidden="1" x14ac:dyDescent="0.25">
      <c r="A79" s="59"/>
      <c r="B79" s="59">
        <v>19398507</v>
      </c>
      <c r="C79" s="59" t="s">
        <v>74</v>
      </c>
      <c r="D79" s="25" t="s">
        <v>75</v>
      </c>
      <c r="E79" s="41"/>
      <c r="F79" s="27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7"/>
      <c r="S79" s="28"/>
      <c r="T79" s="28"/>
      <c r="U79" s="28"/>
      <c r="V79" s="27"/>
      <c r="W79" s="28"/>
      <c r="X79" s="28"/>
      <c r="Y79" s="27"/>
      <c r="Z79" s="42"/>
      <c r="AA79" s="42"/>
      <c r="AB79" s="30">
        <f t="shared" si="43"/>
        <v>0</v>
      </c>
      <c r="AC79" s="56">
        <f t="shared" ref="AC79" si="48">IFERROR((AB79-(AB79-AB81))/AB79,0)</f>
        <v>0</v>
      </c>
    </row>
    <row r="80" spans="1:29" hidden="1" x14ac:dyDescent="0.25">
      <c r="A80" s="60"/>
      <c r="B80" s="60"/>
      <c r="C80" s="60"/>
      <c r="D80" s="31" t="s">
        <v>76</v>
      </c>
      <c r="E80" s="32">
        <f t="shared" ref="E80:AA80" si="49">E79-E81</f>
        <v>0</v>
      </c>
      <c r="F80" s="33">
        <f t="shared" si="49"/>
        <v>0</v>
      </c>
      <c r="G80" s="33">
        <f t="shared" si="49"/>
        <v>0</v>
      </c>
      <c r="H80" s="33">
        <f t="shared" si="49"/>
        <v>0</v>
      </c>
      <c r="I80" s="33">
        <f t="shared" si="49"/>
        <v>0</v>
      </c>
      <c r="J80" s="33">
        <f t="shared" si="49"/>
        <v>0</v>
      </c>
      <c r="K80" s="33">
        <f t="shared" si="49"/>
        <v>0</v>
      </c>
      <c r="L80" s="33">
        <f t="shared" si="49"/>
        <v>0</v>
      </c>
      <c r="M80" s="33">
        <f t="shared" si="49"/>
        <v>0</v>
      </c>
      <c r="N80" s="33">
        <f t="shared" si="49"/>
        <v>0</v>
      </c>
      <c r="O80" s="33">
        <f t="shared" si="49"/>
        <v>0</v>
      </c>
      <c r="P80" s="33">
        <f t="shared" si="49"/>
        <v>0</v>
      </c>
      <c r="Q80" s="33">
        <f t="shared" si="49"/>
        <v>0</v>
      </c>
      <c r="R80" s="33">
        <f t="shared" si="49"/>
        <v>0</v>
      </c>
      <c r="S80" s="33">
        <f t="shared" si="49"/>
        <v>0</v>
      </c>
      <c r="T80" s="33">
        <f t="shared" si="49"/>
        <v>0</v>
      </c>
      <c r="U80" s="33">
        <f t="shared" si="49"/>
        <v>0</v>
      </c>
      <c r="V80" s="33">
        <f t="shared" si="49"/>
        <v>0</v>
      </c>
      <c r="W80" s="33">
        <f t="shared" si="49"/>
        <v>0</v>
      </c>
      <c r="X80" s="33">
        <f t="shared" si="49"/>
        <v>0</v>
      </c>
      <c r="Y80" s="33">
        <f t="shared" si="49"/>
        <v>0</v>
      </c>
      <c r="Z80" s="33"/>
      <c r="AA80" s="33">
        <f t="shared" si="49"/>
        <v>0</v>
      </c>
      <c r="AB80" s="35">
        <f t="shared" si="43"/>
        <v>0</v>
      </c>
      <c r="AC80" s="57"/>
    </row>
    <row r="81" spans="1:29" ht="16.5" hidden="1" thickBot="1" x14ac:dyDescent="0.3">
      <c r="A81" s="61"/>
      <c r="B81" s="61"/>
      <c r="C81" s="61"/>
      <c r="D81" s="36" t="s">
        <v>77</v>
      </c>
      <c r="E81" s="37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9"/>
      <c r="AA81" s="39"/>
      <c r="AB81" s="40">
        <f t="shared" si="43"/>
        <v>0</v>
      </c>
      <c r="AC81" s="58"/>
    </row>
    <row r="82" spans="1:29" hidden="1" x14ac:dyDescent="0.25">
      <c r="A82" s="59"/>
      <c r="B82" s="59">
        <v>16543365</v>
      </c>
      <c r="C82" s="59" t="s">
        <v>74</v>
      </c>
      <c r="D82" s="25" t="s">
        <v>75</v>
      </c>
      <c r="E82" s="41"/>
      <c r="F82" s="41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7"/>
      <c r="S82" s="28"/>
      <c r="T82" s="28"/>
      <c r="U82" s="28"/>
      <c r="V82" s="27"/>
      <c r="W82" s="28"/>
      <c r="X82" s="28"/>
      <c r="Y82" s="27"/>
      <c r="Z82" s="42"/>
      <c r="AA82" s="42"/>
      <c r="AB82" s="30">
        <f t="shared" si="43"/>
        <v>0</v>
      </c>
      <c r="AC82" s="56">
        <f t="shared" ref="AC82" si="50">IFERROR((AB82-(AB82-AB84))/AB82,0)</f>
        <v>0</v>
      </c>
    </row>
    <row r="83" spans="1:29" hidden="1" x14ac:dyDescent="0.25">
      <c r="A83" s="60"/>
      <c r="B83" s="60"/>
      <c r="C83" s="60"/>
      <c r="D83" s="31" t="s">
        <v>76</v>
      </c>
      <c r="E83" s="32">
        <f t="shared" ref="E83:AA83" si="51">E82-E84</f>
        <v>0</v>
      </c>
      <c r="F83" s="33">
        <f t="shared" si="51"/>
        <v>0</v>
      </c>
      <c r="G83" s="33">
        <f t="shared" si="51"/>
        <v>0</v>
      </c>
      <c r="H83" s="33">
        <f t="shared" si="51"/>
        <v>0</v>
      </c>
      <c r="I83" s="33">
        <f t="shared" si="51"/>
        <v>0</v>
      </c>
      <c r="J83" s="33">
        <f t="shared" si="51"/>
        <v>0</v>
      </c>
      <c r="K83" s="33">
        <f t="shared" si="51"/>
        <v>0</v>
      </c>
      <c r="L83" s="33">
        <f t="shared" si="51"/>
        <v>0</v>
      </c>
      <c r="M83" s="33">
        <f t="shared" si="51"/>
        <v>0</v>
      </c>
      <c r="N83" s="33">
        <f t="shared" si="51"/>
        <v>0</v>
      </c>
      <c r="O83" s="33">
        <f t="shared" si="51"/>
        <v>0</v>
      </c>
      <c r="P83" s="33">
        <f t="shared" si="51"/>
        <v>0</v>
      </c>
      <c r="Q83" s="33">
        <f t="shared" si="51"/>
        <v>0</v>
      </c>
      <c r="R83" s="33">
        <f t="shared" si="51"/>
        <v>0</v>
      </c>
      <c r="S83" s="33">
        <f t="shared" si="51"/>
        <v>0</v>
      </c>
      <c r="T83" s="33">
        <f t="shared" si="51"/>
        <v>0</v>
      </c>
      <c r="U83" s="33">
        <f t="shared" si="51"/>
        <v>0</v>
      </c>
      <c r="V83" s="33">
        <f t="shared" si="51"/>
        <v>0</v>
      </c>
      <c r="W83" s="33">
        <f t="shared" si="51"/>
        <v>0</v>
      </c>
      <c r="X83" s="33">
        <f t="shared" si="51"/>
        <v>0</v>
      </c>
      <c r="Y83" s="33">
        <f t="shared" si="51"/>
        <v>0</v>
      </c>
      <c r="Z83" s="33"/>
      <c r="AA83" s="33">
        <f t="shared" si="51"/>
        <v>0</v>
      </c>
      <c r="AB83" s="35">
        <f t="shared" si="43"/>
        <v>0</v>
      </c>
      <c r="AC83" s="57"/>
    </row>
    <row r="84" spans="1:29" ht="16.5" hidden="1" thickBot="1" x14ac:dyDescent="0.3">
      <c r="A84" s="61"/>
      <c r="B84" s="61"/>
      <c r="C84" s="61"/>
      <c r="D84" s="36" t="s">
        <v>77</v>
      </c>
      <c r="E84" s="37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9"/>
      <c r="AA84" s="39"/>
      <c r="AB84" s="40">
        <f t="shared" si="43"/>
        <v>0</v>
      </c>
      <c r="AC84" s="58"/>
    </row>
    <row r="85" spans="1:29" hidden="1" x14ac:dyDescent="0.25">
      <c r="A85" s="59"/>
      <c r="B85" s="59">
        <v>19561647</v>
      </c>
      <c r="C85" s="59" t="s">
        <v>79</v>
      </c>
      <c r="D85" s="25" t="s">
        <v>75</v>
      </c>
      <c r="E85" s="41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7"/>
      <c r="W85" s="28"/>
      <c r="X85" s="28"/>
      <c r="Y85" s="27"/>
      <c r="Z85" s="42"/>
      <c r="AA85" s="42"/>
      <c r="AB85" s="30">
        <f t="shared" si="43"/>
        <v>0</v>
      </c>
      <c r="AC85" s="56">
        <f t="shared" ref="AC85" si="52">IFERROR((AB85-(AB85-AB87))/AB85,0)</f>
        <v>0</v>
      </c>
    </row>
    <row r="86" spans="1:29" hidden="1" x14ac:dyDescent="0.25">
      <c r="A86" s="60"/>
      <c r="B86" s="60"/>
      <c r="C86" s="60"/>
      <c r="D86" s="31" t="s">
        <v>76</v>
      </c>
      <c r="E86" s="32">
        <f t="shared" ref="E86:AA86" si="53">E85-E87</f>
        <v>0</v>
      </c>
      <c r="F86" s="33">
        <f t="shared" si="53"/>
        <v>0</v>
      </c>
      <c r="G86" s="33">
        <f t="shared" si="53"/>
        <v>0</v>
      </c>
      <c r="H86" s="33">
        <f t="shared" si="53"/>
        <v>0</v>
      </c>
      <c r="I86" s="33">
        <f t="shared" si="53"/>
        <v>0</v>
      </c>
      <c r="J86" s="33">
        <f t="shared" si="53"/>
        <v>0</v>
      </c>
      <c r="K86" s="33">
        <f t="shared" si="53"/>
        <v>0</v>
      </c>
      <c r="L86" s="33">
        <f t="shared" si="53"/>
        <v>0</v>
      </c>
      <c r="M86" s="33">
        <f t="shared" si="53"/>
        <v>0</v>
      </c>
      <c r="N86" s="33">
        <f t="shared" si="53"/>
        <v>0</v>
      </c>
      <c r="O86" s="33">
        <f t="shared" si="53"/>
        <v>0</v>
      </c>
      <c r="P86" s="33">
        <f t="shared" si="53"/>
        <v>0</v>
      </c>
      <c r="Q86" s="33">
        <f t="shared" si="53"/>
        <v>0</v>
      </c>
      <c r="R86" s="33">
        <f t="shared" si="53"/>
        <v>0</v>
      </c>
      <c r="S86" s="33">
        <f t="shared" si="53"/>
        <v>0</v>
      </c>
      <c r="T86" s="33">
        <f t="shared" si="53"/>
        <v>0</v>
      </c>
      <c r="U86" s="33">
        <f t="shared" si="53"/>
        <v>0</v>
      </c>
      <c r="V86" s="33">
        <f t="shared" si="53"/>
        <v>0</v>
      </c>
      <c r="W86" s="33">
        <f t="shared" si="53"/>
        <v>0</v>
      </c>
      <c r="X86" s="33">
        <f t="shared" si="53"/>
        <v>0</v>
      </c>
      <c r="Y86" s="33">
        <f t="shared" si="53"/>
        <v>0</v>
      </c>
      <c r="Z86" s="33"/>
      <c r="AA86" s="33">
        <f t="shared" si="53"/>
        <v>0</v>
      </c>
      <c r="AB86" s="35">
        <f t="shared" si="43"/>
        <v>0</v>
      </c>
      <c r="AC86" s="57"/>
    </row>
    <row r="87" spans="1:29" ht="16.5" hidden="1" thickBot="1" x14ac:dyDescent="0.3">
      <c r="A87" s="61"/>
      <c r="B87" s="61"/>
      <c r="C87" s="61"/>
      <c r="D87" s="36" t="s">
        <v>77</v>
      </c>
      <c r="E87" s="37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9"/>
      <c r="AA87" s="39"/>
      <c r="AB87" s="40">
        <f t="shared" si="43"/>
        <v>0</v>
      </c>
      <c r="AC87" s="58"/>
    </row>
    <row r="88" spans="1:29" hidden="1" x14ac:dyDescent="0.25">
      <c r="A88" s="59"/>
      <c r="B88" s="59">
        <v>19561647</v>
      </c>
      <c r="C88" s="59" t="s">
        <v>79</v>
      </c>
      <c r="D88" s="25" t="s">
        <v>75</v>
      </c>
      <c r="E88" s="41"/>
      <c r="F88" s="28"/>
      <c r="G88" s="28"/>
      <c r="H88" s="28"/>
      <c r="I88" s="28"/>
      <c r="J88" s="28"/>
      <c r="K88" s="29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7"/>
      <c r="W88" s="28"/>
      <c r="X88" s="28"/>
      <c r="Y88" s="27"/>
      <c r="Z88" s="42"/>
      <c r="AA88" s="42"/>
      <c r="AB88" s="30">
        <f t="shared" si="43"/>
        <v>0</v>
      </c>
      <c r="AC88" s="56">
        <f t="shared" ref="AC88" si="54">IFERROR((AB88-(AB88-AB90))/AB88,0)</f>
        <v>0</v>
      </c>
    </row>
    <row r="89" spans="1:29" hidden="1" x14ac:dyDescent="0.25">
      <c r="A89" s="60"/>
      <c r="B89" s="60"/>
      <c r="C89" s="60"/>
      <c r="D89" s="31" t="s">
        <v>76</v>
      </c>
      <c r="E89" s="32">
        <f t="shared" ref="E89:AA89" si="55">E88-E90</f>
        <v>0</v>
      </c>
      <c r="F89" s="33">
        <f t="shared" si="55"/>
        <v>0</v>
      </c>
      <c r="G89" s="33">
        <f t="shared" si="55"/>
        <v>0</v>
      </c>
      <c r="H89" s="33">
        <f t="shared" si="55"/>
        <v>0</v>
      </c>
      <c r="I89" s="33">
        <f t="shared" si="55"/>
        <v>0</v>
      </c>
      <c r="J89" s="33">
        <f t="shared" si="55"/>
        <v>0</v>
      </c>
      <c r="K89" s="33">
        <f t="shared" si="55"/>
        <v>0</v>
      </c>
      <c r="L89" s="33">
        <f t="shared" si="55"/>
        <v>0</v>
      </c>
      <c r="M89" s="33">
        <f t="shared" si="55"/>
        <v>0</v>
      </c>
      <c r="N89" s="33">
        <f t="shared" si="55"/>
        <v>0</v>
      </c>
      <c r="O89" s="33">
        <f t="shared" si="55"/>
        <v>0</v>
      </c>
      <c r="P89" s="33">
        <f t="shared" si="55"/>
        <v>0</v>
      </c>
      <c r="Q89" s="33">
        <f t="shared" si="55"/>
        <v>0</v>
      </c>
      <c r="R89" s="33">
        <f t="shared" si="55"/>
        <v>0</v>
      </c>
      <c r="S89" s="33">
        <f t="shared" si="55"/>
        <v>0</v>
      </c>
      <c r="T89" s="33">
        <f t="shared" si="55"/>
        <v>0</v>
      </c>
      <c r="U89" s="33">
        <f t="shared" si="55"/>
        <v>0</v>
      </c>
      <c r="V89" s="33">
        <f t="shared" si="55"/>
        <v>0</v>
      </c>
      <c r="W89" s="33">
        <f t="shared" si="55"/>
        <v>0</v>
      </c>
      <c r="X89" s="33">
        <f t="shared" si="55"/>
        <v>0</v>
      </c>
      <c r="Y89" s="33">
        <f t="shared" si="55"/>
        <v>0</v>
      </c>
      <c r="Z89" s="33"/>
      <c r="AA89" s="33">
        <f t="shared" si="55"/>
        <v>0</v>
      </c>
      <c r="AB89" s="35">
        <f t="shared" si="43"/>
        <v>0</v>
      </c>
      <c r="AC89" s="57"/>
    </row>
    <row r="90" spans="1:29" ht="16.5" hidden="1" thickBot="1" x14ac:dyDescent="0.3">
      <c r="A90" s="61"/>
      <c r="B90" s="61"/>
      <c r="C90" s="61"/>
      <c r="D90" s="36" t="s">
        <v>77</v>
      </c>
      <c r="E90" s="37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9"/>
      <c r="AA90" s="39"/>
      <c r="AB90" s="40">
        <f t="shared" si="43"/>
        <v>0</v>
      </c>
      <c r="AC90" s="58"/>
    </row>
    <row r="91" spans="1:29" hidden="1" x14ac:dyDescent="0.25">
      <c r="A91" s="59"/>
      <c r="B91" s="59">
        <v>23107456</v>
      </c>
      <c r="C91" s="59" t="s">
        <v>78</v>
      </c>
      <c r="D91" s="25" t="s">
        <v>75</v>
      </c>
      <c r="E91" s="41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7"/>
      <c r="W91" s="28"/>
      <c r="X91" s="28"/>
      <c r="Y91" s="27"/>
      <c r="Z91" s="42"/>
      <c r="AA91" s="42"/>
      <c r="AB91" s="30">
        <f t="shared" si="43"/>
        <v>0</v>
      </c>
      <c r="AC91" s="56">
        <f t="shared" ref="AC91" si="56">IFERROR((AB91-(AB91-AB93))/AB91,0)</f>
        <v>0</v>
      </c>
    </row>
    <row r="92" spans="1:29" hidden="1" x14ac:dyDescent="0.25">
      <c r="A92" s="60"/>
      <c r="B92" s="60"/>
      <c r="C92" s="60"/>
      <c r="D92" s="31" t="s">
        <v>76</v>
      </c>
      <c r="E92" s="32">
        <f t="shared" ref="E92:AA92" si="57">E91-E93</f>
        <v>0</v>
      </c>
      <c r="F92" s="33">
        <f t="shared" si="57"/>
        <v>0</v>
      </c>
      <c r="G92" s="33">
        <f t="shared" si="57"/>
        <v>0</v>
      </c>
      <c r="H92" s="33">
        <f t="shared" si="57"/>
        <v>0</v>
      </c>
      <c r="I92" s="33">
        <f t="shared" si="57"/>
        <v>0</v>
      </c>
      <c r="J92" s="33">
        <f t="shared" si="57"/>
        <v>0</v>
      </c>
      <c r="K92" s="33">
        <f t="shared" si="57"/>
        <v>0</v>
      </c>
      <c r="L92" s="33">
        <f t="shared" si="57"/>
        <v>0</v>
      </c>
      <c r="M92" s="33">
        <f t="shared" si="57"/>
        <v>0</v>
      </c>
      <c r="N92" s="33">
        <f t="shared" si="57"/>
        <v>0</v>
      </c>
      <c r="O92" s="33">
        <f t="shared" si="57"/>
        <v>0</v>
      </c>
      <c r="P92" s="33">
        <f t="shared" si="57"/>
        <v>0</v>
      </c>
      <c r="Q92" s="33">
        <f t="shared" si="57"/>
        <v>0</v>
      </c>
      <c r="R92" s="33">
        <f t="shared" si="57"/>
        <v>0</v>
      </c>
      <c r="S92" s="33">
        <f t="shared" si="57"/>
        <v>0</v>
      </c>
      <c r="T92" s="33">
        <f t="shared" si="57"/>
        <v>0</v>
      </c>
      <c r="U92" s="33">
        <f t="shared" si="57"/>
        <v>0</v>
      </c>
      <c r="V92" s="33">
        <f t="shared" si="57"/>
        <v>0</v>
      </c>
      <c r="W92" s="33">
        <f t="shared" si="57"/>
        <v>0</v>
      </c>
      <c r="X92" s="33">
        <f t="shared" si="57"/>
        <v>0</v>
      </c>
      <c r="Y92" s="33">
        <f t="shared" si="57"/>
        <v>0</v>
      </c>
      <c r="Z92" s="33"/>
      <c r="AA92" s="33">
        <f t="shared" si="57"/>
        <v>0</v>
      </c>
      <c r="AB92" s="35">
        <f t="shared" si="43"/>
        <v>0</v>
      </c>
      <c r="AC92" s="57"/>
    </row>
    <row r="93" spans="1:29" ht="16.5" hidden="1" thickBot="1" x14ac:dyDescent="0.3">
      <c r="A93" s="61"/>
      <c r="B93" s="61"/>
      <c r="C93" s="61"/>
      <c r="D93" s="36" t="s">
        <v>77</v>
      </c>
      <c r="E93" s="37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9"/>
      <c r="AA93" s="39"/>
      <c r="AB93" s="40">
        <f t="shared" si="43"/>
        <v>0</v>
      </c>
      <c r="AC93" s="58"/>
    </row>
    <row r="94" spans="1:29" hidden="1" x14ac:dyDescent="0.25">
      <c r="A94" s="59"/>
      <c r="B94" s="59">
        <v>23107456</v>
      </c>
      <c r="C94" s="59" t="s">
        <v>78</v>
      </c>
      <c r="D94" s="25" t="s">
        <v>75</v>
      </c>
      <c r="E94" s="41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7"/>
      <c r="W94" s="28"/>
      <c r="X94" s="28"/>
      <c r="Y94" s="27"/>
      <c r="Z94" s="42"/>
      <c r="AA94" s="42"/>
      <c r="AB94" s="30">
        <f t="shared" si="43"/>
        <v>0</v>
      </c>
      <c r="AC94" s="56">
        <f t="shared" ref="AC94" si="58">IFERROR((AB94-(AB94-AB96))/AB94,0)</f>
        <v>0</v>
      </c>
    </row>
    <row r="95" spans="1:29" hidden="1" x14ac:dyDescent="0.25">
      <c r="A95" s="60"/>
      <c r="B95" s="60"/>
      <c r="C95" s="60"/>
      <c r="D95" s="31" t="s">
        <v>76</v>
      </c>
      <c r="E95" s="32">
        <f t="shared" ref="E95:AA95" si="59">E94-E96</f>
        <v>0</v>
      </c>
      <c r="F95" s="33">
        <f t="shared" si="59"/>
        <v>0</v>
      </c>
      <c r="G95" s="33">
        <f t="shared" si="59"/>
        <v>0</v>
      </c>
      <c r="H95" s="33">
        <f t="shared" si="59"/>
        <v>0</v>
      </c>
      <c r="I95" s="33">
        <f t="shared" si="59"/>
        <v>0</v>
      </c>
      <c r="J95" s="33">
        <f t="shared" si="59"/>
        <v>0</v>
      </c>
      <c r="K95" s="33">
        <f t="shared" si="59"/>
        <v>0</v>
      </c>
      <c r="L95" s="33">
        <f t="shared" si="59"/>
        <v>0</v>
      </c>
      <c r="M95" s="33">
        <f t="shared" si="59"/>
        <v>0</v>
      </c>
      <c r="N95" s="33">
        <f t="shared" si="59"/>
        <v>0</v>
      </c>
      <c r="O95" s="33">
        <f t="shared" si="59"/>
        <v>0</v>
      </c>
      <c r="P95" s="33">
        <f t="shared" si="59"/>
        <v>0</v>
      </c>
      <c r="Q95" s="33">
        <f t="shared" si="59"/>
        <v>0</v>
      </c>
      <c r="R95" s="33">
        <f t="shared" si="59"/>
        <v>0</v>
      </c>
      <c r="S95" s="33">
        <f t="shared" si="59"/>
        <v>0</v>
      </c>
      <c r="T95" s="33">
        <f t="shared" si="59"/>
        <v>0</v>
      </c>
      <c r="U95" s="33">
        <f t="shared" si="59"/>
        <v>0</v>
      </c>
      <c r="V95" s="33">
        <f t="shared" si="59"/>
        <v>0</v>
      </c>
      <c r="W95" s="33">
        <f t="shared" si="59"/>
        <v>0</v>
      </c>
      <c r="X95" s="33">
        <f t="shared" si="59"/>
        <v>0</v>
      </c>
      <c r="Y95" s="33">
        <f t="shared" si="59"/>
        <v>0</v>
      </c>
      <c r="Z95" s="33"/>
      <c r="AA95" s="33">
        <f t="shared" si="59"/>
        <v>0</v>
      </c>
      <c r="AB95" s="35">
        <f t="shared" si="43"/>
        <v>0</v>
      </c>
      <c r="AC95" s="57"/>
    </row>
    <row r="96" spans="1:29" ht="16.5" hidden="1" thickBot="1" x14ac:dyDescent="0.3">
      <c r="A96" s="61"/>
      <c r="B96" s="61"/>
      <c r="C96" s="61"/>
      <c r="D96" s="36" t="s">
        <v>77</v>
      </c>
      <c r="E96" s="37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9"/>
      <c r="AA96" s="39"/>
      <c r="AB96" s="40">
        <f t="shared" si="43"/>
        <v>0</v>
      </c>
      <c r="AC96" s="58"/>
    </row>
    <row r="97" spans="1:29" hidden="1" x14ac:dyDescent="0.25">
      <c r="A97" s="59"/>
      <c r="B97" s="59">
        <v>22525812</v>
      </c>
      <c r="C97" s="59" t="s">
        <v>78</v>
      </c>
      <c r="D97" s="25" t="s">
        <v>75</v>
      </c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28"/>
      <c r="U97" s="28"/>
      <c r="V97" s="27"/>
      <c r="W97" s="28"/>
      <c r="X97" s="28"/>
      <c r="Y97" s="27"/>
      <c r="Z97" s="42"/>
      <c r="AA97" s="42"/>
      <c r="AB97" s="30">
        <f t="shared" si="43"/>
        <v>0</v>
      </c>
      <c r="AC97" s="56">
        <f t="shared" ref="AC97" si="60">IFERROR((AB97-(AB97-AB99))/AB97,0)</f>
        <v>0</v>
      </c>
    </row>
    <row r="98" spans="1:29" hidden="1" x14ac:dyDescent="0.25">
      <c r="A98" s="60"/>
      <c r="B98" s="60"/>
      <c r="C98" s="60"/>
      <c r="D98" s="31" t="s">
        <v>76</v>
      </c>
      <c r="E98" s="32">
        <f t="shared" ref="E98:AA98" si="61">E97-E99</f>
        <v>0</v>
      </c>
      <c r="F98" s="33">
        <f t="shared" si="61"/>
        <v>0</v>
      </c>
      <c r="G98" s="33">
        <f t="shared" si="61"/>
        <v>0</v>
      </c>
      <c r="H98" s="33">
        <f t="shared" si="61"/>
        <v>0</v>
      </c>
      <c r="I98" s="33">
        <f t="shared" si="61"/>
        <v>0</v>
      </c>
      <c r="J98" s="33">
        <f t="shared" si="61"/>
        <v>0</v>
      </c>
      <c r="K98" s="33">
        <f t="shared" si="61"/>
        <v>0</v>
      </c>
      <c r="L98" s="33">
        <f t="shared" si="61"/>
        <v>0</v>
      </c>
      <c r="M98" s="33">
        <f t="shared" si="61"/>
        <v>0</v>
      </c>
      <c r="N98" s="33">
        <f t="shared" si="61"/>
        <v>0</v>
      </c>
      <c r="O98" s="33">
        <f t="shared" si="61"/>
        <v>0</v>
      </c>
      <c r="P98" s="33">
        <f t="shared" si="61"/>
        <v>0</v>
      </c>
      <c r="Q98" s="33">
        <f t="shared" si="61"/>
        <v>0</v>
      </c>
      <c r="R98" s="33">
        <f t="shared" si="61"/>
        <v>0</v>
      </c>
      <c r="S98" s="33">
        <f t="shared" si="61"/>
        <v>0</v>
      </c>
      <c r="T98" s="33">
        <f t="shared" si="61"/>
        <v>0</v>
      </c>
      <c r="U98" s="33">
        <f t="shared" si="61"/>
        <v>0</v>
      </c>
      <c r="V98" s="33">
        <f t="shared" si="61"/>
        <v>0</v>
      </c>
      <c r="W98" s="33">
        <f t="shared" si="61"/>
        <v>0</v>
      </c>
      <c r="X98" s="33">
        <f t="shared" si="61"/>
        <v>0</v>
      </c>
      <c r="Y98" s="33">
        <f t="shared" si="61"/>
        <v>0</v>
      </c>
      <c r="Z98" s="33"/>
      <c r="AA98" s="33">
        <f t="shared" si="61"/>
        <v>0</v>
      </c>
      <c r="AB98" s="35">
        <f t="shared" si="43"/>
        <v>0</v>
      </c>
      <c r="AC98" s="57"/>
    </row>
    <row r="99" spans="1:29" ht="16.5" hidden="1" thickBot="1" x14ac:dyDescent="0.3">
      <c r="A99" s="61"/>
      <c r="B99" s="61"/>
      <c r="C99" s="61"/>
      <c r="D99" s="36" t="s">
        <v>77</v>
      </c>
      <c r="E99" s="37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9"/>
      <c r="AA99" s="39"/>
      <c r="AB99" s="40">
        <f t="shared" si="43"/>
        <v>0</v>
      </c>
      <c r="AC99" s="58"/>
    </row>
    <row r="100" spans="1:29" hidden="1" x14ac:dyDescent="0.25">
      <c r="A100" s="59"/>
      <c r="B100" s="59">
        <v>22525812</v>
      </c>
      <c r="C100" s="59" t="s">
        <v>78</v>
      </c>
      <c r="D100" s="25" t="s">
        <v>75</v>
      </c>
      <c r="E100" s="41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7"/>
      <c r="Q100" s="29"/>
      <c r="R100" s="27"/>
      <c r="S100" s="28"/>
      <c r="T100" s="28"/>
      <c r="U100" s="28"/>
      <c r="V100" s="27"/>
      <c r="W100" s="28"/>
      <c r="X100" s="28"/>
      <c r="Y100" s="27"/>
      <c r="Z100" s="42"/>
      <c r="AA100" s="42"/>
      <c r="AB100" s="30">
        <f t="shared" si="43"/>
        <v>0</v>
      </c>
      <c r="AC100" s="56">
        <f t="shared" ref="AC100" si="62">IFERROR((AB100-(AB100-AB102))/AB100,0)</f>
        <v>0</v>
      </c>
    </row>
    <row r="101" spans="1:29" hidden="1" x14ac:dyDescent="0.25">
      <c r="A101" s="60"/>
      <c r="B101" s="60"/>
      <c r="C101" s="60"/>
      <c r="D101" s="31" t="s">
        <v>76</v>
      </c>
      <c r="E101" s="32">
        <f t="shared" ref="E101:AA101" si="63">E100-E102</f>
        <v>0</v>
      </c>
      <c r="F101" s="33">
        <f t="shared" si="63"/>
        <v>0</v>
      </c>
      <c r="G101" s="33">
        <f t="shared" si="63"/>
        <v>0</v>
      </c>
      <c r="H101" s="33">
        <f t="shared" si="63"/>
        <v>0</v>
      </c>
      <c r="I101" s="33">
        <f t="shared" si="63"/>
        <v>0</v>
      </c>
      <c r="J101" s="33">
        <f t="shared" si="63"/>
        <v>0</v>
      </c>
      <c r="K101" s="33">
        <f t="shared" si="63"/>
        <v>0</v>
      </c>
      <c r="L101" s="33">
        <f t="shared" si="63"/>
        <v>0</v>
      </c>
      <c r="M101" s="33">
        <f t="shared" si="63"/>
        <v>0</v>
      </c>
      <c r="N101" s="33">
        <f t="shared" si="63"/>
        <v>0</v>
      </c>
      <c r="O101" s="33">
        <f t="shared" si="63"/>
        <v>0</v>
      </c>
      <c r="P101" s="33">
        <f t="shared" si="63"/>
        <v>0</v>
      </c>
      <c r="Q101" s="33">
        <f t="shared" si="63"/>
        <v>0</v>
      </c>
      <c r="R101" s="33">
        <f t="shared" si="63"/>
        <v>0</v>
      </c>
      <c r="S101" s="33">
        <f t="shared" si="63"/>
        <v>0</v>
      </c>
      <c r="T101" s="33">
        <f t="shared" si="63"/>
        <v>0</v>
      </c>
      <c r="U101" s="33">
        <f t="shared" si="63"/>
        <v>0</v>
      </c>
      <c r="V101" s="33">
        <f t="shared" si="63"/>
        <v>0</v>
      </c>
      <c r="W101" s="33">
        <f t="shared" si="63"/>
        <v>0</v>
      </c>
      <c r="X101" s="33">
        <f t="shared" si="63"/>
        <v>0</v>
      </c>
      <c r="Y101" s="33">
        <f t="shared" si="63"/>
        <v>0</v>
      </c>
      <c r="Z101" s="33"/>
      <c r="AA101" s="33">
        <f t="shared" si="63"/>
        <v>0</v>
      </c>
      <c r="AB101" s="35">
        <f t="shared" si="43"/>
        <v>0</v>
      </c>
      <c r="AC101" s="57"/>
    </row>
    <row r="102" spans="1:29" ht="16.5" hidden="1" thickBot="1" x14ac:dyDescent="0.3">
      <c r="A102" s="61"/>
      <c r="B102" s="61"/>
      <c r="C102" s="61"/>
      <c r="D102" s="36" t="s">
        <v>77</v>
      </c>
      <c r="E102" s="37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9"/>
      <c r="AA102" s="39"/>
      <c r="AB102" s="40">
        <f t="shared" si="43"/>
        <v>0</v>
      </c>
      <c r="AC102" s="58"/>
    </row>
    <row r="103" spans="1:29" hidden="1" x14ac:dyDescent="0.25">
      <c r="A103" s="59"/>
      <c r="B103" s="59">
        <v>19209240</v>
      </c>
      <c r="C103" s="59" t="s">
        <v>78</v>
      </c>
      <c r="D103" s="25" t="s">
        <v>75</v>
      </c>
      <c r="E103" s="41"/>
      <c r="F103" s="28"/>
      <c r="G103" s="28"/>
      <c r="H103" s="28"/>
      <c r="I103" s="28"/>
      <c r="J103" s="28"/>
      <c r="K103" s="27"/>
      <c r="L103" s="28"/>
      <c r="M103" s="28"/>
      <c r="N103" s="28"/>
      <c r="O103" s="28"/>
      <c r="P103" s="27"/>
      <c r="Q103" s="28"/>
      <c r="R103" s="27"/>
      <c r="S103" s="28"/>
      <c r="T103" s="28"/>
      <c r="U103" s="28"/>
      <c r="V103" s="27"/>
      <c r="W103" s="28"/>
      <c r="X103" s="28"/>
      <c r="Y103" s="27"/>
      <c r="Z103" s="42"/>
      <c r="AA103" s="42"/>
      <c r="AB103" s="30">
        <f t="shared" si="43"/>
        <v>0</v>
      </c>
      <c r="AC103" s="56">
        <f t="shared" ref="AC103" si="64">IFERROR((AB103-(AB103-AB105))/AB103,0)</f>
        <v>0</v>
      </c>
    </row>
    <row r="104" spans="1:29" hidden="1" x14ac:dyDescent="0.25">
      <c r="A104" s="60"/>
      <c r="B104" s="60"/>
      <c r="C104" s="60"/>
      <c r="D104" s="31" t="s">
        <v>76</v>
      </c>
      <c r="E104" s="32">
        <f t="shared" ref="E104:AA104" si="65">E103-E105</f>
        <v>0</v>
      </c>
      <c r="F104" s="33">
        <f t="shared" si="65"/>
        <v>0</v>
      </c>
      <c r="G104" s="33">
        <f t="shared" si="65"/>
        <v>0</v>
      </c>
      <c r="H104" s="33">
        <f t="shared" si="65"/>
        <v>0</v>
      </c>
      <c r="I104" s="33">
        <f t="shared" si="65"/>
        <v>0</v>
      </c>
      <c r="J104" s="33">
        <f t="shared" si="65"/>
        <v>0</v>
      </c>
      <c r="K104" s="33">
        <f t="shared" si="65"/>
        <v>0</v>
      </c>
      <c r="L104" s="33">
        <f t="shared" si="65"/>
        <v>0</v>
      </c>
      <c r="M104" s="33">
        <f t="shared" si="65"/>
        <v>0</v>
      </c>
      <c r="N104" s="33">
        <f t="shared" si="65"/>
        <v>0</v>
      </c>
      <c r="O104" s="33">
        <f t="shared" si="65"/>
        <v>0</v>
      </c>
      <c r="P104" s="33">
        <f t="shared" si="65"/>
        <v>0</v>
      </c>
      <c r="Q104" s="33">
        <f t="shared" si="65"/>
        <v>0</v>
      </c>
      <c r="R104" s="33">
        <f t="shared" si="65"/>
        <v>0</v>
      </c>
      <c r="S104" s="33">
        <f t="shared" si="65"/>
        <v>0</v>
      </c>
      <c r="T104" s="33">
        <f t="shared" si="65"/>
        <v>0</v>
      </c>
      <c r="U104" s="33">
        <f t="shared" si="65"/>
        <v>0</v>
      </c>
      <c r="V104" s="33">
        <f t="shared" si="65"/>
        <v>0</v>
      </c>
      <c r="W104" s="33">
        <f t="shared" si="65"/>
        <v>0</v>
      </c>
      <c r="X104" s="33">
        <f t="shared" si="65"/>
        <v>0</v>
      </c>
      <c r="Y104" s="33">
        <f t="shared" si="65"/>
        <v>0</v>
      </c>
      <c r="Z104" s="33"/>
      <c r="AA104" s="33">
        <f t="shared" si="65"/>
        <v>0</v>
      </c>
      <c r="AB104" s="35">
        <f t="shared" si="43"/>
        <v>0</v>
      </c>
      <c r="AC104" s="57"/>
    </row>
    <row r="105" spans="1:29" ht="16.5" hidden="1" thickBot="1" x14ac:dyDescent="0.3">
      <c r="A105" s="61"/>
      <c r="B105" s="61"/>
      <c r="C105" s="61"/>
      <c r="D105" s="36" t="s">
        <v>77</v>
      </c>
      <c r="E105" s="37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9"/>
      <c r="AA105" s="39"/>
      <c r="AB105" s="43">
        <f t="shared" si="43"/>
        <v>0</v>
      </c>
      <c r="AC105" s="58"/>
    </row>
    <row r="106" spans="1:29" ht="16.5" thickBot="1" x14ac:dyDescent="0.3">
      <c r="A106" s="44"/>
      <c r="B106" s="44"/>
      <c r="C106" s="44"/>
      <c r="D106" s="44" t="s">
        <v>80</v>
      </c>
      <c r="E106" s="45">
        <f t="shared" ref="E106:G106" si="66">E9+E15+E21+E24+E27+E30+E33+E36+E42+E45+E48+E51+E54+E57+E60+E66+E69+E72+E75+E78+E81+E84+E90+E93+E99+E102+E18+E63+E96+E87+E12+E105</f>
        <v>3</v>
      </c>
      <c r="F106" s="45">
        <f t="shared" si="66"/>
        <v>0</v>
      </c>
      <c r="G106" s="45">
        <f t="shared" si="66"/>
        <v>0</v>
      </c>
      <c r="H106" s="45">
        <f>H9+H15+H21+H24+H27+H30+H33+H36+H42+H45+H48+H51+H54+H57+H60+H66+H69+H72+H75+H78+H81+H84+H90+H93+H99+H102+H18+H63+H96+H87+H12+H105</f>
        <v>0</v>
      </c>
      <c r="I106" s="45">
        <f t="shared" ref="I106:O106" si="67">I9+I15+I21+I24+I27+I30+I33+I36+I42+I45+I48+I51+I54+I57+I60+I66+I69+I72+I75+I78+I81+I84+I90+I93+I99+I102+I18+I63+I96+I87+I12+I105</f>
        <v>5</v>
      </c>
      <c r="J106" s="45">
        <f t="shared" si="67"/>
        <v>0</v>
      </c>
      <c r="K106" s="45">
        <f t="shared" si="67"/>
        <v>4</v>
      </c>
      <c r="L106" s="45">
        <f t="shared" si="67"/>
        <v>2</v>
      </c>
      <c r="M106" s="45">
        <f t="shared" si="67"/>
        <v>0</v>
      </c>
      <c r="N106" s="45">
        <f t="shared" si="67"/>
        <v>0</v>
      </c>
      <c r="O106" s="45">
        <f t="shared" si="67"/>
        <v>0</v>
      </c>
      <c r="P106" s="45">
        <f>P9+P15+P21+P24+P27+P30+P33+P36+P42+P45+P48+P51+P54+P57+P60+P66+P69+P72+P75+P78+P81+P84+P90+P93+P99+P102+P18+P63+P96+P87+P12+P105+P39</f>
        <v>2</v>
      </c>
      <c r="Q106" s="45">
        <f t="shared" ref="Q106:AA106" si="68">Q9+Q15+Q21+Q24+Q27+Q30+Q33+Q36+Q42+Q45+Q48+Q51+Q54+Q57+Q60+Q66+Q69+Q72+Q75+Q78+Q81+Q84+Q90+Q93+Q99+Q102+Q18+Q63+Q96+Q87+Q12+Q105+Q39</f>
        <v>9</v>
      </c>
      <c r="R106" s="45">
        <f t="shared" si="68"/>
        <v>8</v>
      </c>
      <c r="S106" s="45">
        <f t="shared" si="68"/>
        <v>9</v>
      </c>
      <c r="T106" s="45">
        <f t="shared" si="68"/>
        <v>1</v>
      </c>
      <c r="U106" s="45">
        <f t="shared" si="68"/>
        <v>2</v>
      </c>
      <c r="V106" s="45">
        <f t="shared" si="68"/>
        <v>4</v>
      </c>
      <c r="W106" s="45">
        <f t="shared" si="68"/>
        <v>7</v>
      </c>
      <c r="X106" s="45">
        <f t="shared" si="68"/>
        <v>3</v>
      </c>
      <c r="Y106" s="45">
        <f t="shared" si="68"/>
        <v>0</v>
      </c>
      <c r="Z106" s="45"/>
      <c r="AA106" s="45">
        <f t="shared" si="68"/>
        <v>0</v>
      </c>
      <c r="AB106" s="46">
        <f>SUM(E106:AA106)</f>
        <v>59</v>
      </c>
    </row>
    <row r="107" spans="1:29" ht="16.5" thickBot="1" x14ac:dyDescent="0.3">
      <c r="E107" s="47"/>
      <c r="AA107" s="44" t="s">
        <v>81</v>
      </c>
      <c r="AB107" s="48">
        <f>AB7+AB13+AB19+AB22+AB25+AB28+AB31+AB34+AB40+AB43+AB46+AB49+AB52+AB55+AB58+AB64+AB67+AB70+AB73+AB76+AB79+AB82+AB88+AB91+AB100+AB103+AB16+AB61+AB10+AB97+AB85+AB94+AB37</f>
        <v>529</v>
      </c>
    </row>
    <row r="108" spans="1:29" x14ac:dyDescent="0.25">
      <c r="E108"/>
    </row>
    <row r="109" spans="1:29" x14ac:dyDescent="0.25">
      <c r="E109"/>
    </row>
    <row r="110" spans="1:29" x14ac:dyDescent="0.25">
      <c r="E110"/>
    </row>
  </sheetData>
  <mergeCells count="133">
    <mergeCell ref="A13:A15"/>
    <mergeCell ref="B13:B15"/>
    <mergeCell ref="C13:C15"/>
    <mergeCell ref="AC13:AC15"/>
    <mergeCell ref="A16:A18"/>
    <mergeCell ref="B16:B18"/>
    <mergeCell ref="C16:C18"/>
    <mergeCell ref="AC16:AC18"/>
    <mergeCell ref="A7:A9"/>
    <mergeCell ref="B7:B9"/>
    <mergeCell ref="C7:C9"/>
    <mergeCell ref="AC7:AC9"/>
    <mergeCell ref="A10:A12"/>
    <mergeCell ref="B10:B12"/>
    <mergeCell ref="C10:C12"/>
    <mergeCell ref="AC10:AC12"/>
    <mergeCell ref="A25:A27"/>
    <mergeCell ref="B25:B27"/>
    <mergeCell ref="C25:C27"/>
    <mergeCell ref="AC25:AC27"/>
    <mergeCell ref="A28:A30"/>
    <mergeCell ref="B28:B30"/>
    <mergeCell ref="C28:C30"/>
    <mergeCell ref="AC28:AC30"/>
    <mergeCell ref="A19:A21"/>
    <mergeCell ref="B19:B21"/>
    <mergeCell ref="C19:C21"/>
    <mergeCell ref="AC19:AC21"/>
    <mergeCell ref="A22:A24"/>
    <mergeCell ref="B22:B24"/>
    <mergeCell ref="C22:C24"/>
    <mergeCell ref="AC22:AC24"/>
    <mergeCell ref="A37:A39"/>
    <mergeCell ref="B37:B39"/>
    <mergeCell ref="C37:C39"/>
    <mergeCell ref="AC37:AC39"/>
    <mergeCell ref="A40:A42"/>
    <mergeCell ref="B40:B42"/>
    <mergeCell ref="C40:C42"/>
    <mergeCell ref="AC40:AC42"/>
    <mergeCell ref="A31:A33"/>
    <mergeCell ref="B31:B33"/>
    <mergeCell ref="C31:C33"/>
    <mergeCell ref="AC31:AC33"/>
    <mergeCell ref="A34:A36"/>
    <mergeCell ref="B34:B36"/>
    <mergeCell ref="C34:C36"/>
    <mergeCell ref="AC34:AC36"/>
    <mergeCell ref="A49:A51"/>
    <mergeCell ref="B49:B51"/>
    <mergeCell ref="C49:C51"/>
    <mergeCell ref="AC49:AC51"/>
    <mergeCell ref="A52:A54"/>
    <mergeCell ref="B52:B54"/>
    <mergeCell ref="C52:C54"/>
    <mergeCell ref="AC52:AC54"/>
    <mergeCell ref="A43:A45"/>
    <mergeCell ref="B43:B45"/>
    <mergeCell ref="C43:C45"/>
    <mergeCell ref="AC43:AC45"/>
    <mergeCell ref="A46:A48"/>
    <mergeCell ref="B46:B48"/>
    <mergeCell ref="C46:C48"/>
    <mergeCell ref="AC46:AC48"/>
    <mergeCell ref="A61:A63"/>
    <mergeCell ref="B61:B63"/>
    <mergeCell ref="C61:C63"/>
    <mergeCell ref="AC61:AC63"/>
    <mergeCell ref="A64:A66"/>
    <mergeCell ref="B64:B66"/>
    <mergeCell ref="C64:C66"/>
    <mergeCell ref="AC64:AC66"/>
    <mergeCell ref="A55:A57"/>
    <mergeCell ref="B55:B57"/>
    <mergeCell ref="C55:C57"/>
    <mergeCell ref="AC55:AC57"/>
    <mergeCell ref="A58:A60"/>
    <mergeCell ref="B58:B60"/>
    <mergeCell ref="C58:C60"/>
    <mergeCell ref="AC58:AC60"/>
    <mergeCell ref="A73:A75"/>
    <mergeCell ref="B73:B75"/>
    <mergeCell ref="C73:C75"/>
    <mergeCell ref="AC73:AC75"/>
    <mergeCell ref="A76:A78"/>
    <mergeCell ref="B76:B78"/>
    <mergeCell ref="C76:C78"/>
    <mergeCell ref="AC76:AC78"/>
    <mergeCell ref="A67:A69"/>
    <mergeCell ref="B67:B69"/>
    <mergeCell ref="C67:C69"/>
    <mergeCell ref="AC67:AC69"/>
    <mergeCell ref="A70:A72"/>
    <mergeCell ref="B70:B72"/>
    <mergeCell ref="C70:C72"/>
    <mergeCell ref="AC70:AC72"/>
    <mergeCell ref="AC85:AC87"/>
    <mergeCell ref="A88:A90"/>
    <mergeCell ref="B88:B90"/>
    <mergeCell ref="C88:C90"/>
    <mergeCell ref="AC88:AC90"/>
    <mergeCell ref="A79:A81"/>
    <mergeCell ref="B79:B81"/>
    <mergeCell ref="C79:C81"/>
    <mergeCell ref="AC79:AC81"/>
    <mergeCell ref="A82:A84"/>
    <mergeCell ref="B82:B84"/>
    <mergeCell ref="C82:C84"/>
    <mergeCell ref="AC82:AC84"/>
    <mergeCell ref="A103:A105"/>
    <mergeCell ref="B103:B105"/>
    <mergeCell ref="C103:C105"/>
    <mergeCell ref="AC103:AC105"/>
    <mergeCell ref="A2:AC2"/>
    <mergeCell ref="A97:A99"/>
    <mergeCell ref="B97:B99"/>
    <mergeCell ref="C97:C99"/>
    <mergeCell ref="AC97:AC99"/>
    <mergeCell ref="A100:A102"/>
    <mergeCell ref="B100:B102"/>
    <mergeCell ref="C100:C102"/>
    <mergeCell ref="AC100:AC102"/>
    <mergeCell ref="A91:A93"/>
    <mergeCell ref="B91:B93"/>
    <mergeCell ref="C91:C93"/>
    <mergeCell ref="AC91:AC93"/>
    <mergeCell ref="A94:A96"/>
    <mergeCell ref="B94:B96"/>
    <mergeCell ref="C94:C96"/>
    <mergeCell ref="AC94:AC96"/>
    <mergeCell ref="A85:A87"/>
    <mergeCell ref="B85:B87"/>
    <mergeCell ref="C85:C8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workbookViewId="0">
      <selection activeCell="E12" sqref="E12"/>
    </sheetView>
  </sheetViews>
  <sheetFormatPr baseColWidth="10" defaultRowHeight="15" x14ac:dyDescent="0.25"/>
  <cols>
    <col min="1" max="1" width="3.42578125" customWidth="1"/>
    <col min="3" max="3" width="10.85546875" customWidth="1"/>
    <col min="4" max="4" width="35.42578125" bestFit="1" customWidth="1"/>
    <col min="5" max="5" width="24" bestFit="1" customWidth="1"/>
    <col min="6" max="6" width="9.85546875" bestFit="1" customWidth="1"/>
    <col min="7" max="7" width="23.5703125" bestFit="1" customWidth="1"/>
  </cols>
  <sheetData>
    <row r="1" spans="2:7" x14ac:dyDescent="0.25">
      <c r="B1" s="70" t="s">
        <v>0</v>
      </c>
      <c r="C1" s="71"/>
      <c r="D1" s="71"/>
      <c r="E1" s="71"/>
      <c r="F1" s="71"/>
      <c r="G1" s="72"/>
    </row>
    <row r="2" spans="2:7" x14ac:dyDescent="0.25">
      <c r="B2" s="73"/>
      <c r="C2" s="74"/>
      <c r="D2" s="74"/>
      <c r="E2" s="74"/>
      <c r="F2" s="74"/>
      <c r="G2" s="75"/>
    </row>
    <row r="3" spans="2:7" x14ac:dyDescent="0.25">
      <c r="B3" s="76" t="s">
        <v>32</v>
      </c>
      <c r="C3" s="78" t="s">
        <v>33</v>
      </c>
      <c r="D3" s="78" t="s">
        <v>34</v>
      </c>
      <c r="E3" s="78" t="s">
        <v>35</v>
      </c>
      <c r="F3" s="78" t="s">
        <v>36</v>
      </c>
      <c r="G3" s="80" t="s">
        <v>37</v>
      </c>
    </row>
    <row r="4" spans="2:7" x14ac:dyDescent="0.25">
      <c r="B4" s="77"/>
      <c r="C4" s="79"/>
      <c r="D4" s="79"/>
      <c r="E4" s="79"/>
      <c r="F4" s="79"/>
      <c r="G4" s="81"/>
    </row>
    <row r="5" spans="2:7" x14ac:dyDescent="0.25">
      <c r="B5" s="6" t="s">
        <v>1</v>
      </c>
      <c r="C5" s="2">
        <v>13317609</v>
      </c>
      <c r="D5" s="3" t="s">
        <v>14</v>
      </c>
      <c r="E5" s="4" t="s">
        <v>15</v>
      </c>
      <c r="F5" s="1"/>
      <c r="G5" s="7"/>
    </row>
    <row r="6" spans="2:7" x14ac:dyDescent="0.25">
      <c r="B6" s="6" t="s">
        <v>1</v>
      </c>
      <c r="C6" s="2">
        <v>18927846</v>
      </c>
      <c r="D6" s="3" t="s">
        <v>16</v>
      </c>
      <c r="E6" s="4" t="s">
        <v>15</v>
      </c>
      <c r="F6" s="1"/>
      <c r="G6" s="7"/>
    </row>
    <row r="7" spans="2:7" x14ac:dyDescent="0.25">
      <c r="B7" s="6" t="s">
        <v>1</v>
      </c>
      <c r="C7" s="2">
        <v>16007130</v>
      </c>
      <c r="D7" s="3" t="s">
        <v>17</v>
      </c>
      <c r="E7" s="4" t="s">
        <v>15</v>
      </c>
      <c r="F7" s="1"/>
      <c r="G7" s="7"/>
    </row>
    <row r="8" spans="2:7" x14ac:dyDescent="0.25">
      <c r="B8" s="6" t="s">
        <v>1</v>
      </c>
      <c r="C8" s="2">
        <v>21284998</v>
      </c>
      <c r="D8" s="3" t="s">
        <v>18</v>
      </c>
      <c r="E8" s="4" t="s">
        <v>15</v>
      </c>
      <c r="F8" s="1"/>
      <c r="G8" s="7"/>
    </row>
    <row r="9" spans="2:7" x14ac:dyDescent="0.25">
      <c r="B9" s="6" t="s">
        <v>1</v>
      </c>
      <c r="C9" s="2">
        <v>26763895</v>
      </c>
      <c r="D9" s="3" t="s">
        <v>19</v>
      </c>
      <c r="E9" s="4" t="s">
        <v>15</v>
      </c>
      <c r="F9" s="1"/>
      <c r="G9" s="7"/>
    </row>
    <row r="10" spans="2:7" x14ac:dyDescent="0.25">
      <c r="B10" s="6" t="s">
        <v>1</v>
      </c>
      <c r="C10" s="2">
        <v>27373856</v>
      </c>
      <c r="D10" s="3" t="s">
        <v>20</v>
      </c>
      <c r="E10" s="4" t="s">
        <v>15</v>
      </c>
      <c r="F10" s="1"/>
      <c r="G10" s="7"/>
    </row>
    <row r="11" spans="2:7" x14ac:dyDescent="0.25">
      <c r="B11" s="6" t="s">
        <v>1</v>
      </c>
      <c r="C11" s="2">
        <v>28309609</v>
      </c>
      <c r="D11" s="3" t="s">
        <v>21</v>
      </c>
      <c r="E11" s="4" t="s">
        <v>15</v>
      </c>
      <c r="F11" s="1"/>
      <c r="G11" s="7"/>
    </row>
    <row r="12" spans="2:7" x14ac:dyDescent="0.25">
      <c r="B12" s="6" t="s">
        <v>1</v>
      </c>
      <c r="C12" s="2">
        <v>19582182</v>
      </c>
      <c r="D12" s="3" t="s">
        <v>22</v>
      </c>
      <c r="E12" s="4" t="s">
        <v>15</v>
      </c>
      <c r="F12" s="1"/>
      <c r="G12" s="7"/>
    </row>
    <row r="13" spans="2:7" x14ac:dyDescent="0.25">
      <c r="B13" s="6" t="s">
        <v>1</v>
      </c>
      <c r="C13" s="2">
        <v>18586708</v>
      </c>
      <c r="D13" s="3" t="s">
        <v>23</v>
      </c>
      <c r="E13" s="4" t="s">
        <v>15</v>
      </c>
      <c r="F13" s="1"/>
      <c r="G13" s="7"/>
    </row>
    <row r="14" spans="2:7" x14ac:dyDescent="0.25">
      <c r="B14" s="6" t="s">
        <v>1</v>
      </c>
      <c r="C14" s="2">
        <v>16223389</v>
      </c>
      <c r="D14" s="3" t="s">
        <v>24</v>
      </c>
      <c r="E14" s="4" t="s">
        <v>15</v>
      </c>
      <c r="F14" s="1"/>
      <c r="G14" s="7"/>
    </row>
    <row r="15" spans="2:7" x14ac:dyDescent="0.25">
      <c r="B15" s="6" t="s">
        <v>1</v>
      </c>
      <c r="C15" s="2">
        <v>21116359</v>
      </c>
      <c r="D15" s="3" t="s">
        <v>3</v>
      </c>
      <c r="E15" s="4" t="s">
        <v>5</v>
      </c>
      <c r="F15" s="1"/>
      <c r="G15" s="7"/>
    </row>
    <row r="16" spans="2:7" x14ac:dyDescent="0.25">
      <c r="B16" s="6" t="s">
        <v>1</v>
      </c>
      <c r="C16" s="2">
        <v>18443408</v>
      </c>
      <c r="D16" s="3" t="s">
        <v>4</v>
      </c>
      <c r="E16" s="4" t="s">
        <v>5</v>
      </c>
      <c r="F16" s="1"/>
      <c r="G16" s="7"/>
    </row>
    <row r="17" spans="2:7" x14ac:dyDescent="0.25">
      <c r="B17" s="6" t="s">
        <v>1</v>
      </c>
      <c r="C17" s="2">
        <v>13128973</v>
      </c>
      <c r="D17" s="3" t="s">
        <v>6</v>
      </c>
      <c r="E17" s="4" t="s">
        <v>5</v>
      </c>
      <c r="F17" s="1"/>
      <c r="G17" s="7"/>
    </row>
    <row r="18" spans="2:7" x14ac:dyDescent="0.25">
      <c r="B18" s="6" t="s">
        <v>1</v>
      </c>
      <c r="C18" s="2">
        <v>18923619</v>
      </c>
      <c r="D18" s="3" t="s">
        <v>7</v>
      </c>
      <c r="E18" s="4" t="s">
        <v>5</v>
      </c>
      <c r="F18" s="1"/>
      <c r="G18" s="7"/>
    </row>
    <row r="19" spans="2:7" x14ac:dyDescent="0.25">
      <c r="B19" s="6" t="s">
        <v>1</v>
      </c>
      <c r="C19" s="2">
        <v>15508495</v>
      </c>
      <c r="D19" s="3" t="s">
        <v>8</v>
      </c>
      <c r="E19" s="4" t="s">
        <v>5</v>
      </c>
      <c r="F19" s="1"/>
      <c r="G19" s="7"/>
    </row>
    <row r="20" spans="2:7" x14ac:dyDescent="0.25">
      <c r="B20" s="6" t="s">
        <v>1</v>
      </c>
      <c r="C20" s="2">
        <v>18109244</v>
      </c>
      <c r="D20" s="3" t="s">
        <v>9</v>
      </c>
      <c r="E20" s="4" t="s">
        <v>5</v>
      </c>
      <c r="F20" s="1"/>
      <c r="G20" s="7"/>
    </row>
    <row r="21" spans="2:7" x14ac:dyDescent="0.25">
      <c r="B21" s="6" t="s">
        <v>1</v>
      </c>
      <c r="C21" s="2">
        <v>17976779</v>
      </c>
      <c r="D21" s="3" t="s">
        <v>10</v>
      </c>
      <c r="E21" s="4" t="s">
        <v>5</v>
      </c>
      <c r="F21" s="1"/>
      <c r="G21" s="7"/>
    </row>
    <row r="22" spans="2:7" x14ac:dyDescent="0.25">
      <c r="B22" s="6" t="s">
        <v>1</v>
      </c>
      <c r="C22" s="2">
        <v>27985915</v>
      </c>
      <c r="D22" s="3" t="s">
        <v>11</v>
      </c>
      <c r="E22" s="4" t="s">
        <v>2</v>
      </c>
      <c r="F22" s="1"/>
      <c r="G22" s="7"/>
    </row>
    <row r="23" spans="2:7" x14ac:dyDescent="0.25">
      <c r="B23" s="6" t="s">
        <v>1</v>
      </c>
      <c r="C23" s="2">
        <v>26131321</v>
      </c>
      <c r="D23" s="3" t="s">
        <v>12</v>
      </c>
      <c r="E23" s="4" t="s">
        <v>2</v>
      </c>
      <c r="F23" s="1"/>
      <c r="G23" s="7"/>
    </row>
    <row r="24" spans="2:7" x14ac:dyDescent="0.25">
      <c r="B24" s="6" t="s">
        <v>1</v>
      </c>
      <c r="C24" s="2">
        <v>22047352</v>
      </c>
      <c r="D24" s="3" t="s">
        <v>13</v>
      </c>
      <c r="E24" s="4" t="s">
        <v>2</v>
      </c>
      <c r="F24" s="1"/>
      <c r="G24" s="7"/>
    </row>
    <row r="25" spans="2:7" x14ac:dyDescent="0.25">
      <c r="B25" s="6" t="s">
        <v>1</v>
      </c>
      <c r="C25" s="2">
        <v>21375667</v>
      </c>
      <c r="D25" s="3" t="s">
        <v>25</v>
      </c>
      <c r="E25" s="4" t="s">
        <v>2</v>
      </c>
      <c r="F25" s="1"/>
      <c r="G25" s="7"/>
    </row>
    <row r="26" spans="2:7" x14ac:dyDescent="0.25">
      <c r="B26" s="6" t="s">
        <v>1</v>
      </c>
      <c r="C26" s="2">
        <v>25368377</v>
      </c>
      <c r="D26" s="3" t="s">
        <v>26</v>
      </c>
      <c r="E26" s="4" t="s">
        <v>2</v>
      </c>
      <c r="F26" s="1"/>
      <c r="G26" s="7"/>
    </row>
    <row r="27" spans="2:7" x14ac:dyDescent="0.25">
      <c r="B27" s="6" t="s">
        <v>1</v>
      </c>
      <c r="C27" s="2">
        <v>25872349</v>
      </c>
      <c r="D27" s="3" t="s">
        <v>27</v>
      </c>
      <c r="E27" s="4" t="s">
        <v>2</v>
      </c>
      <c r="F27" s="1"/>
      <c r="G27" s="7"/>
    </row>
    <row r="28" spans="2:7" x14ac:dyDescent="0.25">
      <c r="B28" s="6" t="s">
        <v>1</v>
      </c>
      <c r="C28" s="2">
        <v>26255272</v>
      </c>
      <c r="D28" s="3" t="s">
        <v>28</v>
      </c>
      <c r="E28" s="4" t="s">
        <v>2</v>
      </c>
      <c r="F28" s="1"/>
      <c r="G28" s="7"/>
    </row>
    <row r="29" spans="2:7" x14ac:dyDescent="0.25">
      <c r="B29" s="6" t="s">
        <v>1</v>
      </c>
      <c r="C29" s="2">
        <v>27031072</v>
      </c>
      <c r="D29" s="3" t="s">
        <v>29</v>
      </c>
      <c r="E29" s="4" t="s">
        <v>2</v>
      </c>
      <c r="F29" s="1"/>
      <c r="G29" s="7"/>
    </row>
    <row r="30" spans="2:7" x14ac:dyDescent="0.25">
      <c r="B30" s="6" t="s">
        <v>1</v>
      </c>
      <c r="C30" s="2">
        <v>27796996</v>
      </c>
      <c r="D30" s="3" t="s">
        <v>30</v>
      </c>
      <c r="E30" s="4" t="s">
        <v>2</v>
      </c>
      <c r="F30" s="1"/>
      <c r="G30" s="7"/>
    </row>
    <row r="31" spans="2:7" x14ac:dyDescent="0.25">
      <c r="B31" s="6" t="s">
        <v>1</v>
      </c>
      <c r="C31" s="2">
        <v>28302440</v>
      </c>
      <c r="D31" s="3" t="s">
        <v>31</v>
      </c>
      <c r="E31" s="4" t="s">
        <v>2</v>
      </c>
      <c r="F31" s="1"/>
      <c r="G31" s="7"/>
    </row>
    <row r="32" spans="2:7" x14ac:dyDescent="0.25">
      <c r="B32" s="6" t="s">
        <v>1</v>
      </c>
      <c r="C32" s="11">
        <v>28304457</v>
      </c>
      <c r="D32" s="3" t="s">
        <v>38</v>
      </c>
      <c r="E32" s="4" t="s">
        <v>2</v>
      </c>
      <c r="F32" s="8"/>
      <c r="G32" s="7"/>
    </row>
    <row r="33" spans="2:7" x14ac:dyDescent="0.25">
      <c r="B33" s="6" t="s">
        <v>1</v>
      </c>
      <c r="C33" s="11">
        <v>27451377</v>
      </c>
      <c r="D33" s="3" t="s">
        <v>39</v>
      </c>
      <c r="E33" s="4" t="s">
        <v>2</v>
      </c>
      <c r="F33" s="8"/>
      <c r="G33" s="7"/>
    </row>
    <row r="34" spans="2:7" ht="15.75" thickBot="1" x14ac:dyDescent="0.3">
      <c r="B34" s="12" t="s">
        <v>1</v>
      </c>
      <c r="C34" s="15">
        <v>27988023</v>
      </c>
      <c r="D34" s="13" t="s">
        <v>40</v>
      </c>
      <c r="E34" s="14" t="s">
        <v>2</v>
      </c>
      <c r="F34" s="9"/>
      <c r="G34" s="10"/>
    </row>
    <row r="35" spans="2:7" x14ac:dyDescent="0.25">
      <c r="F35" s="5"/>
    </row>
    <row r="36" spans="2:7" x14ac:dyDescent="0.25">
      <c r="F36" s="5"/>
    </row>
    <row r="37" spans="2:7" x14ac:dyDescent="0.25">
      <c r="F37" s="5"/>
    </row>
    <row r="38" spans="2:7" x14ac:dyDescent="0.25">
      <c r="F38" s="5"/>
    </row>
    <row r="39" spans="2:7" x14ac:dyDescent="0.25">
      <c r="F39" s="5"/>
    </row>
    <row r="40" spans="2:7" x14ac:dyDescent="0.25">
      <c r="F40" s="5"/>
    </row>
    <row r="41" spans="2:7" x14ac:dyDescent="0.25">
      <c r="F41" s="5"/>
    </row>
    <row r="42" spans="2:7" x14ac:dyDescent="0.25">
      <c r="F42" s="5"/>
    </row>
    <row r="43" spans="2:7" x14ac:dyDescent="0.25">
      <c r="F43" s="5"/>
    </row>
    <row r="44" spans="2:7" x14ac:dyDescent="0.25">
      <c r="F44" s="5"/>
    </row>
    <row r="45" spans="2:7" x14ac:dyDescent="0.25">
      <c r="F45" s="5"/>
    </row>
    <row r="46" spans="2:7" x14ac:dyDescent="0.25">
      <c r="F46" s="5"/>
    </row>
    <row r="47" spans="2:7" x14ac:dyDescent="0.25">
      <c r="F47" s="5"/>
    </row>
    <row r="48" spans="2:7" x14ac:dyDescent="0.25">
      <c r="F48" s="5"/>
    </row>
    <row r="49" spans="6:6" x14ac:dyDescent="0.25">
      <c r="F49" s="5"/>
    </row>
    <row r="50" spans="6:6" x14ac:dyDescent="0.25">
      <c r="F50" s="5"/>
    </row>
    <row r="51" spans="6:6" x14ac:dyDescent="0.25">
      <c r="F51" s="5"/>
    </row>
    <row r="52" spans="6:6" x14ac:dyDescent="0.25">
      <c r="F52" s="5"/>
    </row>
  </sheetData>
  <autoFilter ref="B3:F4"/>
  <mergeCells count="7">
    <mergeCell ref="B1:G2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INCIDENCIA OPERARIO II</vt:lpstr>
      <vt:lpstr>INCIDENCIA ANALISTA</vt:lpstr>
      <vt:lpstr>Hoja1</vt:lpstr>
    </vt:vector>
  </TitlesOfParts>
  <Company>Empresas Polar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ARESTIGUETA SALCEDO, VICFRECMER ALBERTO</dc:creator>
  <cp:lastModifiedBy>Admin</cp:lastModifiedBy>
  <dcterms:created xsi:type="dcterms:W3CDTF">2025-09-18T00:04:05Z</dcterms:created>
  <dcterms:modified xsi:type="dcterms:W3CDTF">2025-12-02T11:17:56Z</dcterms:modified>
</cp:coreProperties>
</file>